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본DB" sheetId="1" r:id="rId5"/>
    <sheet state="visible" name="1월실적" sheetId="2" r:id="rId6"/>
    <sheet state="visible" name="settings" sheetId="3" r:id="rId7"/>
    <sheet state="visible" name="base_records" sheetId="4" r:id="rId8"/>
    <sheet state="visible" name="hospital_records" sheetId="5" r:id="rId9"/>
    <sheet state="visible" name="facility_records" sheetId="6" r:id="rId10"/>
    <sheet state="visible" name="service_records" sheetId="7" r:id="rId11"/>
    <sheet state="visible" name="error_log" sheetId="8" r:id="rId12"/>
    <sheet state="visible" name="summary_dashboard" sheetId="9" r:id="rId13"/>
    <sheet state="visible" name="공적서비스" sheetId="10" r:id="rId14"/>
  </sheets>
  <definedNames>
    <definedName hidden="1" localSheetId="3" name="_xlnm._FilterDatabase">base_records!$A$1:$L$7</definedName>
    <definedName hidden="1" localSheetId="4" name="_xlnm._FilterDatabase">hospital_records!$A$1:$H$4</definedName>
    <definedName hidden="1" localSheetId="5" name="_xlnm._FilterDatabase">facility_records!$A$1:$H$2</definedName>
    <definedName hidden="1" localSheetId="6" name="_xlnm._FilterDatabase">service_records!$A$1:$K$3</definedName>
    <definedName hidden="1" localSheetId="7" name="_xlnm._FilterDatabase">error_log!$A$1:$H$5</definedName>
  </definedNames>
  <calcPr/>
</workbook>
</file>

<file path=xl/sharedStrings.xml><?xml version="1.0" encoding="utf-8"?>
<sst xmlns="http://schemas.openxmlformats.org/spreadsheetml/2006/main" count="1045" uniqueCount="238">
  <si>
    <t>공통</t>
  </si>
  <si>
    <t>병원</t>
  </si>
  <si>
    <t>시설</t>
  </si>
  <si>
    <t>서비스</t>
  </si>
  <si>
    <t>공적서비스</t>
  </si>
  <si>
    <t>번호</t>
  </si>
  <si>
    <t>날짜</t>
  </si>
  <si>
    <t>담당자</t>
  </si>
  <si>
    <t>이름</t>
  </si>
  <si>
    <t>생년월일</t>
  </si>
  <si>
    <t>성별</t>
  </si>
  <si>
    <t>상담유형</t>
  </si>
  <si>
    <t>입원유형</t>
  </si>
  <si>
    <t>병원명</t>
  </si>
  <si>
    <t>입원여부</t>
  </si>
  <si>
    <t>퇴원후연계</t>
  </si>
  <si>
    <t>입소유형</t>
  </si>
  <si>
    <t>시설명</t>
  </si>
  <si>
    <t>입퇴소여부</t>
  </si>
  <si>
    <t>퇴소후조치</t>
  </si>
  <si>
    <t>주거지원</t>
  </si>
  <si>
    <t>물품제공</t>
  </si>
  <si>
    <t>방문상담</t>
  </si>
  <si>
    <t>외래진료</t>
  </si>
  <si>
    <t>투약관리</t>
  </si>
  <si>
    <t>기타</t>
  </si>
  <si>
    <t>지원항목</t>
  </si>
  <si>
    <t>신청기관</t>
  </si>
  <si>
    <t>지원시기</t>
  </si>
  <si>
    <t>박상준</t>
  </si>
  <si>
    <t>홍길동</t>
  </si>
  <si>
    <t>남</t>
  </si>
  <si>
    <t>정신</t>
  </si>
  <si>
    <t>자의입원</t>
  </si>
  <si>
    <t>축령정신병원</t>
  </si>
  <si>
    <t>입원</t>
  </si>
  <si>
    <t>안영호</t>
  </si>
  <si>
    <t>유훈철</t>
  </si>
  <si>
    <t>알콜</t>
  </si>
  <si>
    <t>재활시설</t>
  </si>
  <si>
    <t>비전트레이닝센터</t>
  </si>
  <si>
    <t>입소</t>
  </si>
  <si>
    <t>조국일</t>
  </si>
  <si>
    <t>김이인</t>
  </si>
  <si>
    <t>응급입원</t>
  </si>
  <si>
    <t>백암병원</t>
  </si>
  <si>
    <t>퇴원</t>
  </si>
  <si>
    <t>연락두절</t>
  </si>
  <si>
    <t>직접입력</t>
  </si>
  <si>
    <t>드롭다운 내용</t>
  </si>
  <si>
    <t>체크박스</t>
  </si>
  <si>
    <t xml:space="preserve">남 </t>
  </si>
  <si>
    <t>재입원</t>
  </si>
  <si>
    <t>자활시설</t>
  </si>
  <si>
    <t>전원</t>
  </si>
  <si>
    <t>병원방문</t>
  </si>
  <si>
    <t>여</t>
  </si>
  <si>
    <t>시설연계</t>
  </si>
  <si>
    <t>퇴소</t>
  </si>
  <si>
    <t>병원입원</t>
  </si>
  <si>
    <t>주거방문</t>
  </si>
  <si>
    <t>보호진단</t>
  </si>
  <si>
    <t>요양시설</t>
  </si>
  <si>
    <t>보호입원</t>
  </si>
  <si>
    <t>일시보호</t>
  </si>
  <si>
    <t>귀가</t>
  </si>
  <si>
    <t>타복지시설</t>
  </si>
  <si>
    <t>재노숙</t>
  </si>
  <si>
    <t>사망</t>
  </si>
  <si>
    <t>지원주택</t>
  </si>
  <si>
    <t xml:space="preserve"> </t>
  </si>
  <si>
    <t>담당</t>
  </si>
  <si>
    <t>상담(거리 및 내방)</t>
  </si>
  <si>
    <t>조치</t>
  </si>
  <si>
    <t>조치후 사례관리</t>
  </si>
  <si>
    <t>정신상담</t>
  </si>
  <si>
    <t>알콜상담</t>
  </si>
  <si>
    <t>기타상담</t>
  </si>
  <si>
    <t>소계</t>
  </si>
  <si>
    <t>시설입소
 (노숙영역)</t>
  </si>
  <si>
    <t>시설입소
 (타복지영역)</t>
  </si>
  <si>
    <t>기타
(귀가,외래등)</t>
  </si>
  <si>
    <t>주거지방문</t>
  </si>
  <si>
    <t>기타
(척도, 내방)</t>
  </si>
  <si>
    <t>합계</t>
  </si>
  <si>
    <t>최리선</t>
  </si>
  <si>
    <t>김영민</t>
  </si>
  <si>
    <t>임종혁</t>
  </si>
  <si>
    <t>마명철</t>
  </si>
  <si>
    <t>일일누계</t>
  </si>
  <si>
    <t>총누계</t>
  </si>
  <si>
    <t>구분</t>
  </si>
  <si>
    <t>시설입소(자활, 재활, 요양)</t>
  </si>
  <si>
    <t>시설입소(타복지시설)</t>
  </si>
  <si>
    <t>기타(외래)</t>
  </si>
  <si>
    <t>기타(척도, 내방)</t>
  </si>
  <si>
    <t>1월 1주차</t>
  </si>
  <si>
    <t>1월 2주차</t>
  </si>
  <si>
    <t>1월 3주차</t>
  </si>
  <si>
    <t>１</t>
  </si>
  <si>
    <t>０</t>
  </si>
  <si>
    <t>1월 4주차</t>
  </si>
  <si>
    <t>시설입소 
 (노숙 영역)</t>
  </si>
  <si>
    <t>월합계</t>
  </si>
  <si>
    <t>1월 통계</t>
  </si>
  <si>
    <t>엑셀</t>
  </si>
  <si>
    <t>인트라넷</t>
  </si>
  <si>
    <t>상담</t>
  </si>
  <si>
    <t>키</t>
  </si>
  <si>
    <t>값</t>
  </si>
  <si>
    <t>설명</t>
  </si>
  <si>
    <t>코드그룹</t>
  </si>
  <si>
    <t>코드값</t>
  </si>
  <si>
    <t>활성</t>
  </si>
  <si>
    <t>운영설정</t>
  </si>
  <si>
    <t>raw_input_sheet_name</t>
  </si>
  <si>
    <t>raw_input</t>
  </si>
  <si>
    <t>원본 입력 시트 이름입니다. 없으면 raw_input, 시트1, 첫 번째 일반 시트를 순서대로 탐색합니다.</t>
  </si>
  <si>
    <t>Y</t>
  </si>
  <si>
    <t>rebuild_mode</t>
  </si>
  <si>
    <t>full_rebuild</t>
  </si>
  <si>
    <t>1차 운영은 전체 재구성 방식으로 유지합니다.</t>
  </si>
  <si>
    <t>알코올</t>
  </si>
  <si>
    <t>skip_invalid_detail_rows</t>
  </si>
  <si>
    <t>필수값 누락 또는 날짜 오류 행은 상세 시트 생성에서 제외합니다.</t>
  </si>
  <si>
    <t>필수값</t>
  </si>
  <si>
    <t>required_fields</t>
  </si>
  <si>
    <t>날짜,이름</t>
  </si>
  <si>
    <t>최소 필수값 기준입니다.</t>
  </si>
  <si>
    <t>동의입원</t>
  </si>
  <si>
    <t>행정입원</t>
  </si>
  <si>
    <t>자활</t>
  </si>
  <si>
    <t>재활</t>
  </si>
  <si>
    <t>요양</t>
  </si>
  <si>
    <t>서비스유형</t>
  </si>
  <si>
    <t>record_id</t>
  </si>
  <si>
    <t>source_row</t>
  </si>
  <si>
    <t>birth_raw</t>
  </si>
  <si>
    <t>birth_normalized</t>
  </si>
  <si>
    <t>created_at</t>
  </si>
  <si>
    <t>updated_at</t>
  </si>
  <si>
    <t>is_valid</t>
  </si>
  <si>
    <t>20260317_홍길동_911111_3</t>
  </si>
  <si>
    <t>20260317_유훈철_811111_4</t>
  </si>
  <si>
    <t>20260317_김이인_711111_5</t>
  </si>
  <si>
    <t>20260318_홍길동_91111_6</t>
  </si>
  <si>
    <t>20260318_홍길동_91111_7</t>
  </si>
  <si>
    <t>nodate_직접입력_직접입력_17</t>
  </si>
  <si>
    <t>service_id</t>
  </si>
  <si>
    <t>서비스상세</t>
  </si>
  <si>
    <t>관련기관명</t>
  </si>
  <si>
    <t>서비스일자</t>
  </si>
  <si>
    <t>20260317_홍길동_911111_3_주거지원_01</t>
  </si>
  <si>
    <t>20260317_유훈철_811111_4_주거지원_01</t>
  </si>
  <si>
    <t>logged_at</t>
  </si>
  <si>
    <t>error_type</t>
  </si>
  <si>
    <t>error_message</t>
  </si>
  <si>
    <t>raw_name</t>
  </si>
  <si>
    <t>raw_date</t>
  </si>
  <si>
    <t>status</t>
  </si>
  <si>
    <t>INVALID_BIRTH</t>
  </si>
  <si>
    <t>생년월일 형식을 자동 보정하지 못해 원문을 유지했습니다.</t>
  </si>
  <si>
    <t>WARN</t>
  </si>
  <si>
    <t>INVALID_DATE</t>
  </si>
  <si>
    <t>날짜 형식을 해석할 수 없습니다.</t>
  </si>
  <si>
    <t>OPEN</t>
  </si>
  <si>
    <t>정신건강팀 실적 대시보드</t>
  </si>
  <si>
    <t>마지막 갱신</t>
  </si>
  <si>
    <t>항목</t>
  </si>
  <si>
    <t>건수</t>
  </si>
  <si>
    <t>전체 base 레코드 수</t>
  </si>
  <si>
    <t>base_records</t>
  </si>
  <si>
    <t>유효 base 레코드 수</t>
  </si>
  <si>
    <t>hospital_records</t>
  </si>
  <si>
    <t>병원 연계 건수</t>
  </si>
  <si>
    <t>facility_records</t>
  </si>
  <si>
    <t>시설 연계 건수</t>
  </si>
  <si>
    <t>service_records</t>
  </si>
  <si>
    <t>서비스 총 건수</t>
  </si>
  <si>
    <t>오류 로그 건수</t>
  </si>
  <si>
    <t>월</t>
  </si>
  <si>
    <t>서비스 건수</t>
  </si>
  <si>
    <t>이름 조회</t>
  </si>
  <si>
    <t>조회 이름</t>
  </si>
  <si>
    <t>입력한 이름과 정확히 일치하는 기록을 아래 표에 자동 표시합니다.</t>
  </si>
  <si>
    <t>주민등록재발급</t>
  </si>
  <si>
    <t>주민등록복원</t>
  </si>
  <si>
    <t>수급</t>
  </si>
  <si>
    <t>사례관리</t>
  </si>
  <si>
    <t>대상자명</t>
  </si>
  <si>
    <t>수급지원</t>
  </si>
  <si>
    <t>기타(장애인등록등)</t>
  </si>
  <si>
    <t>비고</t>
  </si>
  <si>
    <t>지원시기별 실적</t>
  </si>
  <si>
    <t>손경희</t>
  </si>
  <si>
    <t>북아현동주민센터</t>
  </si>
  <si>
    <t>임시주거 중</t>
  </si>
  <si>
    <t>김종수</t>
  </si>
  <si>
    <t>남영동주민센터</t>
  </si>
  <si>
    <t>병원입원 중</t>
  </si>
  <si>
    <t>장동림</t>
  </si>
  <si>
    <t>중림동주민센터</t>
  </si>
  <si>
    <t>김영천</t>
  </si>
  <si>
    <t>남기삼</t>
  </si>
  <si>
    <t>라강열</t>
  </si>
  <si>
    <t>김승미</t>
  </si>
  <si>
    <t>이은기</t>
  </si>
  <si>
    <t>유선태</t>
  </si>
  <si>
    <t>문정호</t>
  </si>
  <si>
    <t>유혜린</t>
  </si>
  <si>
    <t>권금호</t>
  </si>
  <si>
    <t>이정수</t>
  </si>
  <si>
    <t>서대문구청</t>
  </si>
  <si>
    <t>박효정</t>
  </si>
  <si>
    <t>최만권</t>
  </si>
  <si>
    <t>조종민</t>
  </si>
  <si>
    <t>김영근</t>
  </si>
  <si>
    <t>원효로1동주민센터</t>
  </si>
  <si>
    <t>서정혁</t>
  </si>
  <si>
    <t>곽부연</t>
  </si>
  <si>
    <t>김종국</t>
  </si>
  <si>
    <t>장오형</t>
  </si>
  <si>
    <t>박미향</t>
  </si>
  <si>
    <t>신은혜</t>
  </si>
  <si>
    <t>이승철</t>
  </si>
  <si>
    <t>한현석</t>
  </si>
  <si>
    <t>길성종</t>
  </si>
  <si>
    <t>서강훈</t>
  </si>
  <si>
    <t>송수복</t>
  </si>
  <si>
    <t>이재섭</t>
  </si>
  <si>
    <t>이성도</t>
  </si>
  <si>
    <t>임철빈</t>
  </si>
  <si>
    <t>전정규</t>
  </si>
  <si>
    <t>황정웅</t>
  </si>
  <si>
    <t>임인희</t>
  </si>
  <si>
    <t>연희동주민센터</t>
  </si>
  <si>
    <t>민원찬</t>
  </si>
  <si>
    <t>권오준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</si>
</sst>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 M. d"/>
    <numFmt numFmtId="165" formatCode="yyyy-mm-dd"/>
    <numFmt numFmtId="166" formatCode="yyyy-mm-dd hh:mm:ss"/>
    <numFmt numFmtId="167" formatCode="yyyy. m. d"/>
    <numFmt numFmtId="168" formatCode="yyyy-mm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20.0"/>
      <color rgb="FF1F1F1F"/>
      <name val="Google Sans"/>
    </font>
    <font>
      <sz val="11.0"/>
      <color theme="1"/>
      <name val="Arial"/>
    </font>
    <font>
      <sz val="9.0"/>
      <color theme="1"/>
      <name val="Arial"/>
    </font>
    <font>
      <b/>
      <u/>
      <color theme="1"/>
      <name val="Arial"/>
    </font>
    <font>
      <b/>
      <sz val="9.0"/>
      <color theme="1"/>
      <name val="Arial"/>
    </font>
    <font>
      <sz val="11.0"/>
      <color rgb="FF9C0006"/>
      <name val="Arial"/>
    </font>
    <font>
      <b/>
      <sz val="11.0"/>
      <color rgb="FFFFFFFF"/>
      <name val="Arial"/>
    </font>
    <font>
      <b/>
      <sz val="14.0"/>
      <color theme="1"/>
      <name val="Arial"/>
      <scheme val="minor"/>
    </font>
    <font>
      <b/>
      <sz val="12.0"/>
      <color rgb="FF006100"/>
      <name val="Arial"/>
    </font>
    <font>
      <b/>
      <sz val="11.0"/>
      <color rgb="FF9C6500"/>
      <name val="Arial"/>
    </font>
    <font>
      <b/>
      <sz val="13.0"/>
      <color rgb="FF006100"/>
      <name val="Arial"/>
    </font>
    <font>
      <b/>
      <sz val="11.0"/>
      <color rgb="FF3F3F3F"/>
      <name val="Arial"/>
    </font>
    <font>
      <b/>
      <sz val="12.0"/>
      <color theme="1"/>
      <name val="Arial"/>
    </font>
    <font>
      <sz val="11.0"/>
      <color theme="1"/>
      <name val="Google Sans Mono"/>
    </font>
  </fonts>
  <fills count="1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9BBB59"/>
        <bgColor rgb="FF9BBB59"/>
      </patternFill>
    </fill>
    <fill>
      <patternFill patternType="solid">
        <fgColor rgb="FFFFFFCC"/>
        <bgColor rgb="FFFFFFCC"/>
      </patternFill>
    </fill>
    <fill>
      <patternFill patternType="solid">
        <fgColor rgb="FFA5A5A5"/>
        <bgColor rgb="FFA5A5A5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E6B8AF"/>
        <bgColor rgb="FFE6B8AF"/>
      </patternFill>
    </fill>
  </fills>
  <borders count="27">
    <border/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4" fillId="0" fontId="3" numFmtId="0" xfId="0" applyBorder="1" applyFont="1"/>
    <xf borderId="5" fillId="2" fontId="4" numFmtId="0" xfId="0" applyAlignment="1" applyBorder="1" applyFill="1" applyFont="1">
      <alignment horizontal="center" readingOrder="0"/>
    </xf>
    <xf borderId="5" fillId="2" fontId="4" numFmtId="164" xfId="0" applyAlignment="1" applyBorder="1" applyFont="1" applyNumberFormat="1">
      <alignment horizontal="center" readingOrder="0"/>
    </xf>
    <xf borderId="6" fillId="2" fontId="4" numFmtId="0" xfId="0" applyAlignment="1" applyBorder="1" applyFont="1">
      <alignment horizontal="center" readingOrder="0"/>
    </xf>
    <xf borderId="7" fillId="2" fontId="4" numFmtId="0" xfId="0" applyAlignment="1" applyBorder="1" applyFont="1">
      <alignment horizontal="center" readingOrder="0"/>
    </xf>
    <xf borderId="8" fillId="2" fontId="4" numFmtId="0" xfId="0" applyAlignment="1" applyBorder="1" applyFont="1">
      <alignment horizontal="center" readingOrder="0"/>
    </xf>
    <xf borderId="9" fillId="2" fontId="4" numFmtId="0" xfId="0" applyAlignment="1" applyBorder="1" applyFont="1">
      <alignment horizontal="center" readingOrder="0"/>
    </xf>
    <xf borderId="6" fillId="2" fontId="5" numFmtId="0" xfId="0" applyAlignment="1" applyBorder="1" applyFont="1">
      <alignment horizontal="center" readingOrder="0" vertical="bottom"/>
    </xf>
    <xf borderId="5" fillId="0" fontId="1" numFmtId="3" xfId="0" applyAlignment="1" applyBorder="1" applyFont="1" applyNumberFormat="1">
      <alignment horizontal="center" readingOrder="0"/>
    </xf>
    <xf borderId="5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5" fillId="0" fontId="1" numFmtId="164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9" fillId="0" fontId="6" numFmtId="0" xfId="0" applyAlignment="1" applyBorder="1" applyFont="1">
      <alignment vertical="bottom"/>
    </xf>
    <xf borderId="0" fillId="0" fontId="1" numFmtId="3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3" fontId="7" numFmtId="0" xfId="0" applyAlignment="1" applyFill="1" applyFont="1">
      <alignment vertical="bottom"/>
    </xf>
    <xf borderId="0" fillId="0" fontId="6" numFmtId="0" xfId="0" applyFont="1"/>
    <xf borderId="0" fillId="3" fontId="6" numFmtId="0" xfId="0" applyFont="1"/>
    <xf borderId="5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9" fillId="0" fontId="3" numFmtId="0" xfId="0" applyBorder="1" applyFont="1"/>
    <xf borderId="5" fillId="0" fontId="6" numFmtId="0" xfId="0" applyBorder="1" applyFont="1"/>
    <xf borderId="5" fillId="0" fontId="5" numFmtId="0" xfId="0" applyAlignment="1" applyBorder="1" applyFont="1">
      <alignment horizontal="center"/>
    </xf>
    <xf borderId="0" fillId="3" fontId="6" numFmtId="0" xfId="0" applyAlignment="1" applyFont="1">
      <alignment vertical="bottom"/>
    </xf>
    <xf borderId="10" fillId="3" fontId="9" numFmtId="165" xfId="0" applyAlignment="1" applyBorder="1" applyFont="1" applyNumberFormat="1">
      <alignment horizontal="center"/>
    </xf>
    <xf borderId="5" fillId="3" fontId="9" numFmtId="0" xfId="0" applyAlignment="1" applyBorder="1" applyFont="1">
      <alignment horizontal="center"/>
    </xf>
    <xf borderId="5" fillId="3" fontId="6" numFmtId="0" xfId="0" applyAlignment="1" applyBorder="1" applyFont="1">
      <alignment vertical="bottom"/>
    </xf>
    <xf borderId="5" fillId="3" fontId="9" numFmtId="0" xfId="0" applyAlignment="1" applyBorder="1" applyFont="1">
      <alignment horizontal="center" vertical="bottom"/>
    </xf>
    <xf borderId="11" fillId="0" fontId="3" numFmtId="0" xfId="0" applyBorder="1" applyFont="1"/>
    <xf borderId="5" fillId="3" fontId="8" numFmtId="0" xfId="0" applyAlignment="1" applyBorder="1" applyFont="1">
      <alignment horizontal="center"/>
    </xf>
    <xf borderId="5" fillId="4" fontId="9" numFmtId="0" xfId="0" applyAlignment="1" applyBorder="1" applyFill="1" applyFont="1">
      <alignment horizontal="center"/>
    </xf>
    <xf borderId="5" fillId="4" fontId="6" numFmtId="0" xfId="0" applyAlignment="1" applyBorder="1" applyFont="1">
      <alignment vertical="bottom"/>
    </xf>
    <xf borderId="5" fillId="4" fontId="9" numFmtId="0" xfId="0" applyAlignment="1" applyBorder="1" applyFont="1">
      <alignment horizontal="center" vertical="bottom"/>
    </xf>
    <xf borderId="5" fillId="5" fontId="9" numFmtId="0" xfId="0" applyAlignment="1" applyBorder="1" applyFill="1" applyFont="1">
      <alignment horizontal="center"/>
    </xf>
    <xf borderId="12" fillId="0" fontId="3" numFmtId="0" xfId="0" applyBorder="1" applyFont="1"/>
    <xf borderId="5" fillId="6" fontId="6" numFmtId="0" xfId="0" applyAlignment="1" applyBorder="1" applyFill="1" applyFont="1">
      <alignment horizontal="center"/>
    </xf>
    <xf borderId="5" fillId="6" fontId="10" numFmtId="0" xfId="0" applyAlignment="1" applyBorder="1" applyFont="1">
      <alignment horizontal="center"/>
    </xf>
    <xf borderId="5" fillId="0" fontId="6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9" fillId="7" fontId="8" numFmtId="0" xfId="0" applyAlignment="1" applyBorder="1" applyFill="1" applyFont="1">
      <alignment horizontal="center"/>
    </xf>
    <xf borderId="9" fillId="7" fontId="6" numFmtId="0" xfId="0" applyAlignment="1" applyBorder="1" applyFont="1">
      <alignment horizontal="center"/>
    </xf>
    <xf borderId="5" fillId="7" fontId="8" numFmtId="0" xfId="0" applyAlignment="1" applyBorder="1" applyFont="1">
      <alignment horizontal="center"/>
    </xf>
    <xf borderId="13" fillId="7" fontId="8" numFmtId="0" xfId="0" applyAlignment="1" applyBorder="1" applyFont="1">
      <alignment horizontal="center"/>
    </xf>
    <xf borderId="0" fillId="0" fontId="6" numFmtId="0" xfId="0" applyAlignment="1" applyFont="1">
      <alignment horizontal="center" vertical="bottom"/>
    </xf>
    <xf borderId="5" fillId="0" fontId="6" numFmtId="0" xfId="0" applyAlignment="1" applyBorder="1" applyFont="1">
      <alignment horizontal="right" vertical="bottom"/>
    </xf>
    <xf borderId="5" fillId="4" fontId="6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10" fillId="3" fontId="6" numFmtId="165" xfId="0" applyBorder="1" applyFont="1" applyNumberFormat="1"/>
    <xf borderId="11" fillId="3" fontId="6" numFmtId="165" xfId="0" applyBorder="1" applyFont="1" applyNumberFormat="1"/>
    <xf borderId="5" fillId="8" fontId="8" numFmtId="0" xfId="0" applyAlignment="1" applyBorder="1" applyFill="1" applyFont="1">
      <alignment horizontal="center"/>
    </xf>
    <xf borderId="5" fillId="0" fontId="9" numFmtId="0" xfId="0" applyAlignment="1" applyBorder="1" applyFont="1">
      <alignment horizontal="center"/>
    </xf>
    <xf borderId="12" fillId="3" fontId="6" numFmtId="165" xfId="0" applyBorder="1" applyFont="1" applyNumberFormat="1"/>
    <xf borderId="6" fillId="9" fontId="11" numFmtId="0" xfId="0" applyAlignment="1" applyBorder="1" applyFill="1" applyFont="1">
      <alignment horizontal="center"/>
    </xf>
    <xf borderId="10" fillId="0" fontId="9" numFmtId="0" xfId="0" applyAlignment="1" applyBorder="1" applyFont="1">
      <alignment horizontal="center"/>
    </xf>
    <xf borderId="6" fillId="4" fontId="12" numFmtId="0" xfId="0" applyAlignment="1" applyBorder="1" applyFont="1">
      <alignment horizontal="center"/>
    </xf>
    <xf borderId="5" fillId="4" fontId="12" numFmtId="0" xfId="0" applyAlignment="1" applyBorder="1" applyFont="1">
      <alignment horizontal="center"/>
    </xf>
    <xf borderId="5" fillId="10" fontId="13" numFmtId="0" xfId="0" applyAlignment="1" applyBorder="1" applyFill="1" applyFont="1">
      <alignment horizontal="center"/>
    </xf>
    <xf borderId="0" fillId="11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11" fontId="2" numFmtId="165" xfId="0" applyAlignment="1" applyFont="1" applyNumberFormat="1">
      <alignment horizontal="center" readingOrder="0"/>
    </xf>
    <xf borderId="0" fillId="11" fontId="2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Alignment="1" applyFont="1" applyNumberFormat="1">
      <alignment readingOrder="0"/>
    </xf>
    <xf borderId="0" fillId="12" fontId="14" numFmtId="0" xfId="0" applyAlignment="1" applyFill="1" applyFont="1">
      <alignment readingOrder="0"/>
    </xf>
    <xf borderId="0" fillId="12" fontId="1" numFmtId="0" xfId="0" applyFont="1"/>
    <xf borderId="0" fillId="12" fontId="2" numFmtId="0" xfId="0" applyAlignment="1" applyFont="1">
      <alignment readingOrder="0"/>
    </xf>
    <xf borderId="0" fillId="12" fontId="1" numFmtId="166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13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Font="1"/>
    <xf borderId="5" fillId="14" fontId="15" numFmtId="0" xfId="0" applyAlignment="1" applyBorder="1" applyFill="1" applyFont="1">
      <alignment horizontal="center" vertical="bottom"/>
    </xf>
    <xf borderId="5" fillId="15" fontId="16" numFmtId="0" xfId="0" applyAlignment="1" applyBorder="1" applyFill="1" applyFont="1">
      <alignment horizontal="center" vertical="bottom"/>
    </xf>
    <xf borderId="14" fillId="14" fontId="17" numFmtId="0" xfId="0" applyAlignment="1" applyBorder="1" applyFont="1">
      <alignment horizontal="center" vertical="bottom"/>
    </xf>
    <xf borderId="15" fillId="0" fontId="3" numFmtId="0" xfId="0" applyBorder="1" applyFont="1"/>
    <xf borderId="16" fillId="0" fontId="3" numFmtId="0" xfId="0" applyBorder="1" applyFont="1"/>
    <xf borderId="5" fillId="16" fontId="18" numFmtId="0" xfId="0" applyAlignment="1" applyBorder="1" applyFill="1" applyFont="1">
      <alignment horizontal="center" vertical="bottom"/>
    </xf>
    <xf borderId="5" fillId="17" fontId="18" numFmtId="0" xfId="0" applyAlignment="1" applyBorder="1" applyFill="1" applyFont="1">
      <alignment horizontal="center" vertical="bottom"/>
    </xf>
    <xf borderId="5" fillId="16" fontId="18" numFmtId="0" xfId="0" applyAlignment="1" applyBorder="1" applyFont="1">
      <alignment horizontal="center" readingOrder="0" vertical="bottom"/>
    </xf>
    <xf borderId="0" fillId="0" fontId="19" numFmtId="0" xfId="0" applyAlignment="1" applyFont="1">
      <alignment vertical="bottom"/>
    </xf>
    <xf borderId="5" fillId="0" fontId="8" numFmtId="164" xfId="0" applyAlignment="1" applyBorder="1" applyFont="1" applyNumberFormat="1">
      <alignment horizontal="center" vertical="bottom"/>
    </xf>
    <xf borderId="17" fillId="14" fontId="15" numFmtId="0" xfId="0" applyAlignment="1" applyBorder="1" applyFont="1">
      <alignment horizontal="center"/>
    </xf>
    <xf borderId="18" fillId="14" fontId="15" numFmtId="0" xfId="0" applyAlignment="1" applyBorder="1" applyFont="1">
      <alignment horizontal="center" vertical="bottom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14" fontId="15" numFmtId="0" xfId="0" applyAlignment="1" applyBorder="1" applyFont="1">
      <alignment horizontal="center" vertical="bottom"/>
    </xf>
    <xf borderId="23" fillId="15" fontId="16" numFmtId="0" xfId="0" applyAlignment="1" applyBorder="1" applyFont="1">
      <alignment horizontal="center" vertical="bottom"/>
    </xf>
    <xf borderId="5" fillId="3" fontId="20" numFmtId="0" xfId="0" applyAlignment="1" applyBorder="1" applyFont="1">
      <alignment horizontal="center"/>
    </xf>
    <xf borderId="22" fillId="3" fontId="20" numFmtId="0" xfId="0" applyAlignment="1" applyBorder="1" applyFont="1">
      <alignment horizontal="center"/>
    </xf>
    <xf borderId="9" fillId="0" fontId="8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12" fillId="0" fontId="8" numFmtId="164" xfId="0" applyAlignment="1" applyBorder="1" applyFont="1" applyNumberFormat="1">
      <alignment horizontal="center" vertical="bottom"/>
    </xf>
    <xf borderId="13" fillId="0" fontId="8" numFmtId="0" xfId="0" applyAlignment="1" applyBorder="1" applyFont="1">
      <alignment horizontal="center" vertical="bottom"/>
    </xf>
    <xf borderId="13" fillId="0" fontId="6" numFmtId="0" xfId="0" applyAlignment="1" applyBorder="1" applyFont="1">
      <alignment vertical="bottom"/>
    </xf>
    <xf borderId="13" fillId="0" fontId="6" numFmtId="0" xfId="0" applyAlignment="1" applyBorder="1" applyFont="1">
      <alignment horizontal="center" vertical="bottom"/>
    </xf>
    <xf borderId="5" fillId="3" fontId="8" numFmtId="164" xfId="0" applyAlignment="1" applyBorder="1" applyFont="1" applyNumberFormat="1">
      <alignment horizontal="center" vertical="bottom"/>
    </xf>
    <xf borderId="24" fillId="15" fontId="16" numFmtId="0" xfId="0" applyAlignment="1" applyBorder="1" applyFont="1">
      <alignment horizontal="center" vertical="bottom"/>
    </xf>
    <xf borderId="25" fillId="3" fontId="20" numFmtId="0" xfId="0" applyAlignment="1" applyBorder="1" applyFont="1">
      <alignment horizontal="center"/>
    </xf>
    <xf borderId="26" fillId="3" fontId="20" numFmtId="0" xfId="0" applyAlignment="1" applyBorder="1" applyFont="1">
      <alignment horizontal="center"/>
    </xf>
    <xf borderId="5" fillId="3" fontId="8" numFmtId="167" xfId="0" applyAlignment="1" applyBorder="1" applyFont="1" applyNumberFormat="1">
      <alignment horizontal="center" vertical="bottom"/>
    </xf>
    <xf borderId="5" fillId="0" fontId="8" numFmtId="167" xfId="0" applyAlignment="1" applyBorder="1" applyFont="1" applyNumberFormat="1">
      <alignment horizontal="center" vertical="bottom"/>
    </xf>
    <xf borderId="5" fillId="0" fontId="6" numFmtId="164" xfId="0" applyAlignment="1" applyBorder="1" applyFont="1" applyNumberFormat="1">
      <alignment vertical="bottom"/>
    </xf>
    <xf borderId="5" fillId="0" fontId="6" numFmtId="167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88"/>
    <col customWidth="1" min="2" max="2" width="9.38"/>
    <col customWidth="1" min="4" max="4" width="11.38"/>
  </cols>
  <sheetData>
    <row r="1">
      <c r="A1" s="1"/>
      <c r="B1" s="2" t="s">
        <v>0</v>
      </c>
      <c r="G1" s="1"/>
      <c r="H1" s="3" t="s">
        <v>1</v>
      </c>
      <c r="I1" s="4"/>
      <c r="J1" s="4"/>
      <c r="K1" s="5"/>
      <c r="L1" s="6" t="s">
        <v>2</v>
      </c>
      <c r="M1" s="4"/>
      <c r="N1" s="4"/>
      <c r="O1" s="5"/>
      <c r="P1" s="7" t="s">
        <v>3</v>
      </c>
      <c r="W1" s="8"/>
      <c r="X1" s="7" t="s">
        <v>4</v>
      </c>
      <c r="AA1" s="1"/>
      <c r="AB1" s="1"/>
      <c r="AC1" s="1"/>
      <c r="AD1" s="1"/>
      <c r="AE1" s="1"/>
      <c r="AF1" s="1"/>
      <c r="AG1" s="1"/>
      <c r="AH1" s="1"/>
      <c r="AI1" s="1"/>
    </row>
    <row r="2">
      <c r="A2" s="9" t="s">
        <v>5</v>
      </c>
      <c r="B2" s="10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11" t="s">
        <v>11</v>
      </c>
      <c r="H2" s="12" t="s">
        <v>12</v>
      </c>
      <c r="I2" s="9" t="s">
        <v>13</v>
      </c>
      <c r="J2" s="9" t="s">
        <v>14</v>
      </c>
      <c r="K2" s="13" t="s">
        <v>15</v>
      </c>
      <c r="L2" s="14" t="s">
        <v>16</v>
      </c>
      <c r="M2" s="9" t="s">
        <v>17</v>
      </c>
      <c r="N2" s="9" t="s">
        <v>18</v>
      </c>
      <c r="O2" s="13" t="s">
        <v>19</v>
      </c>
      <c r="P2" s="14" t="s">
        <v>20</v>
      </c>
      <c r="Q2" s="9" t="s">
        <v>21</v>
      </c>
      <c r="R2" s="9" t="s">
        <v>22</v>
      </c>
      <c r="S2" s="9" t="s">
        <v>23</v>
      </c>
      <c r="T2" s="9" t="s">
        <v>13</v>
      </c>
      <c r="U2" s="9" t="s">
        <v>24</v>
      </c>
      <c r="V2" s="11" t="s">
        <v>4</v>
      </c>
      <c r="W2" s="13" t="s">
        <v>25</v>
      </c>
      <c r="X2" s="15" t="s">
        <v>26</v>
      </c>
      <c r="Y2" s="15" t="s">
        <v>27</v>
      </c>
      <c r="Z2" s="15" t="s">
        <v>28</v>
      </c>
      <c r="AA2" s="1"/>
      <c r="AB2" s="1"/>
      <c r="AC2" s="1"/>
      <c r="AD2" s="1"/>
      <c r="AE2" s="1"/>
      <c r="AF2" s="1"/>
      <c r="AG2" s="1"/>
      <c r="AH2" s="1"/>
      <c r="AI2" s="1"/>
    </row>
    <row r="3">
      <c r="A3" s="16">
        <f t="shared" ref="A3:A4" si="1">row()-2</f>
        <v>1</v>
      </c>
      <c r="B3" s="17">
        <v>46098.0</v>
      </c>
      <c r="C3" s="18" t="s">
        <v>29</v>
      </c>
      <c r="D3" s="18" t="s">
        <v>30</v>
      </c>
      <c r="E3" s="18">
        <v>911111.0</v>
      </c>
      <c r="F3" s="18" t="s">
        <v>31</v>
      </c>
      <c r="G3" s="19" t="s">
        <v>32</v>
      </c>
      <c r="H3" s="20" t="s">
        <v>33</v>
      </c>
      <c r="I3" s="18" t="s">
        <v>34</v>
      </c>
      <c r="J3" s="18" t="s">
        <v>35</v>
      </c>
      <c r="K3" s="21"/>
      <c r="L3" s="22"/>
      <c r="M3" s="23"/>
      <c r="N3" s="23"/>
      <c r="O3" s="21"/>
      <c r="P3" s="24" t="b">
        <v>1</v>
      </c>
      <c r="Q3" s="23" t="b">
        <v>0</v>
      </c>
      <c r="R3" s="23"/>
      <c r="S3" s="23" t="b">
        <v>0</v>
      </c>
      <c r="T3" s="23"/>
      <c r="U3" s="23" t="b">
        <v>0</v>
      </c>
      <c r="V3" s="25"/>
      <c r="W3" s="21"/>
      <c r="X3" s="26"/>
      <c r="Y3" s="26"/>
      <c r="Z3" s="26"/>
      <c r="AA3" s="1"/>
      <c r="AB3" s="1"/>
      <c r="AC3" s="1"/>
      <c r="AD3" s="1"/>
      <c r="AE3" s="1"/>
      <c r="AF3" s="1"/>
      <c r="AG3" s="1"/>
      <c r="AH3" s="1"/>
      <c r="AI3" s="1"/>
    </row>
    <row r="4">
      <c r="A4" s="16">
        <f t="shared" si="1"/>
        <v>2</v>
      </c>
      <c r="B4" s="17">
        <v>46098.0</v>
      </c>
      <c r="C4" s="18" t="s">
        <v>36</v>
      </c>
      <c r="D4" s="18" t="s">
        <v>37</v>
      </c>
      <c r="E4" s="18">
        <v>811111.0</v>
      </c>
      <c r="F4" s="18" t="s">
        <v>31</v>
      </c>
      <c r="G4" s="19" t="s">
        <v>38</v>
      </c>
      <c r="H4" s="20"/>
      <c r="I4" s="18"/>
      <c r="J4" s="18"/>
      <c r="K4" s="21"/>
      <c r="L4" s="24" t="s">
        <v>39</v>
      </c>
      <c r="M4" s="18" t="s">
        <v>40</v>
      </c>
      <c r="N4" s="18" t="s">
        <v>41</v>
      </c>
      <c r="O4" s="21"/>
      <c r="P4" s="24" t="b">
        <v>1</v>
      </c>
      <c r="Q4" s="23"/>
      <c r="R4" s="23"/>
      <c r="S4" s="23"/>
      <c r="T4" s="23"/>
      <c r="U4" s="23"/>
      <c r="V4" s="25"/>
      <c r="W4" s="21"/>
      <c r="X4" s="27"/>
      <c r="Y4" s="27"/>
      <c r="Z4" s="27"/>
      <c r="AA4" s="1"/>
      <c r="AB4" s="1"/>
      <c r="AC4" s="1"/>
      <c r="AD4" s="1"/>
      <c r="AE4" s="1"/>
      <c r="AF4" s="1"/>
      <c r="AG4" s="1"/>
      <c r="AH4" s="1"/>
      <c r="AI4" s="1"/>
    </row>
    <row r="5">
      <c r="A5" s="16">
        <v>3.0</v>
      </c>
      <c r="B5" s="17">
        <v>46098.0</v>
      </c>
      <c r="C5" s="18" t="s">
        <v>42</v>
      </c>
      <c r="D5" s="18" t="s">
        <v>43</v>
      </c>
      <c r="E5" s="18">
        <v>711111.0</v>
      </c>
      <c r="F5" s="18" t="s">
        <v>31</v>
      </c>
      <c r="G5" s="19" t="s">
        <v>32</v>
      </c>
      <c r="H5" s="28"/>
      <c r="I5" s="23"/>
      <c r="J5" s="23"/>
      <c r="K5" s="21"/>
      <c r="L5" s="22"/>
      <c r="M5" s="23"/>
      <c r="N5" s="23"/>
      <c r="O5" s="21"/>
      <c r="P5" s="22" t="b">
        <v>0</v>
      </c>
      <c r="Q5" s="23"/>
      <c r="R5" s="23"/>
      <c r="S5" s="23"/>
      <c r="T5" s="23"/>
      <c r="U5" s="23"/>
      <c r="V5" s="25"/>
      <c r="W5" s="21"/>
      <c r="X5" s="27"/>
      <c r="Y5" s="27"/>
      <c r="Z5" s="27"/>
      <c r="AA5" s="1"/>
      <c r="AB5" s="1"/>
      <c r="AC5" s="1"/>
      <c r="AD5" s="1"/>
      <c r="AE5" s="1"/>
      <c r="AF5" s="1"/>
      <c r="AG5" s="1"/>
      <c r="AH5" s="1"/>
      <c r="AI5" s="1"/>
    </row>
    <row r="6">
      <c r="A6" s="16">
        <f t="shared" ref="A6:A32" si="2">row()-2</f>
        <v>4</v>
      </c>
      <c r="B6" s="17">
        <v>46099.0</v>
      </c>
      <c r="C6" s="18" t="s">
        <v>29</v>
      </c>
      <c r="D6" s="18" t="s">
        <v>30</v>
      </c>
      <c r="E6" s="18">
        <v>91111.0</v>
      </c>
      <c r="F6" s="18" t="s">
        <v>31</v>
      </c>
      <c r="G6" s="19" t="s">
        <v>32</v>
      </c>
      <c r="H6" s="20" t="s">
        <v>44</v>
      </c>
      <c r="I6" s="18" t="s">
        <v>45</v>
      </c>
      <c r="J6" s="18" t="s">
        <v>35</v>
      </c>
      <c r="K6" s="21"/>
      <c r="L6" s="22"/>
      <c r="M6" s="23"/>
      <c r="N6" s="23"/>
      <c r="O6" s="21"/>
      <c r="P6" s="22" t="b">
        <v>0</v>
      </c>
      <c r="Q6" s="23"/>
      <c r="R6" s="23"/>
      <c r="S6" s="23"/>
      <c r="T6" s="23"/>
      <c r="U6" s="23"/>
      <c r="V6" s="25"/>
      <c r="W6" s="21"/>
      <c r="X6" s="27"/>
      <c r="Y6" s="27"/>
      <c r="Z6" s="27"/>
      <c r="AA6" s="1"/>
      <c r="AB6" s="1"/>
      <c r="AC6" s="1"/>
      <c r="AD6" s="1"/>
      <c r="AE6" s="1"/>
      <c r="AF6" s="1"/>
      <c r="AG6" s="1"/>
      <c r="AH6" s="1"/>
      <c r="AI6" s="1"/>
    </row>
    <row r="7">
      <c r="A7" s="16">
        <f t="shared" si="2"/>
        <v>5</v>
      </c>
      <c r="B7" s="17">
        <v>46099.0</v>
      </c>
      <c r="C7" s="18" t="s">
        <v>29</v>
      </c>
      <c r="D7" s="18" t="s">
        <v>30</v>
      </c>
      <c r="E7" s="18">
        <v>91111.0</v>
      </c>
      <c r="F7" s="18" t="s">
        <v>31</v>
      </c>
      <c r="G7" s="19" t="s">
        <v>32</v>
      </c>
      <c r="H7" s="28"/>
      <c r="I7" s="18" t="s">
        <v>45</v>
      </c>
      <c r="J7" s="18" t="s">
        <v>46</v>
      </c>
      <c r="K7" s="29" t="s">
        <v>47</v>
      </c>
      <c r="L7" s="22"/>
      <c r="M7" s="23"/>
      <c r="N7" s="23"/>
      <c r="O7" s="21"/>
      <c r="P7" s="22" t="b">
        <v>0</v>
      </c>
      <c r="Q7" s="23"/>
      <c r="R7" s="23"/>
      <c r="S7" s="23"/>
      <c r="T7" s="23"/>
      <c r="U7" s="23"/>
      <c r="V7" s="25"/>
      <c r="W7" s="21"/>
      <c r="X7" s="27"/>
      <c r="Y7" s="27"/>
      <c r="Z7" s="27"/>
      <c r="AA7" s="1"/>
      <c r="AB7" s="1"/>
      <c r="AC7" s="1"/>
      <c r="AD7" s="1"/>
      <c r="AE7" s="1"/>
      <c r="AF7" s="1"/>
      <c r="AG7" s="1"/>
      <c r="AH7" s="1"/>
      <c r="AI7" s="1"/>
    </row>
    <row r="8">
      <c r="A8" s="16">
        <f t="shared" si="2"/>
        <v>6</v>
      </c>
      <c r="B8" s="30"/>
      <c r="C8" s="23"/>
      <c r="D8" s="23"/>
      <c r="E8" s="23"/>
      <c r="F8" s="18" t="s">
        <v>31</v>
      </c>
      <c r="G8" s="31"/>
      <c r="H8" s="28"/>
      <c r="I8" s="23"/>
      <c r="J8" s="23"/>
      <c r="K8" s="21"/>
      <c r="L8" s="22"/>
      <c r="M8" s="23"/>
      <c r="N8" s="23"/>
      <c r="O8" s="21"/>
      <c r="P8" s="22" t="b">
        <v>0</v>
      </c>
      <c r="Q8" s="23"/>
      <c r="R8" s="23"/>
      <c r="S8" s="23"/>
      <c r="T8" s="23"/>
      <c r="U8" s="23"/>
      <c r="V8" s="25"/>
      <c r="W8" s="21"/>
      <c r="X8" s="27"/>
      <c r="Y8" s="27"/>
      <c r="Z8" s="27"/>
      <c r="AA8" s="1"/>
      <c r="AB8" s="1"/>
      <c r="AC8" s="1"/>
      <c r="AD8" s="1"/>
      <c r="AE8" s="1"/>
      <c r="AF8" s="1"/>
      <c r="AG8" s="1"/>
      <c r="AH8" s="1"/>
      <c r="AI8" s="1"/>
    </row>
    <row r="9">
      <c r="A9" s="16">
        <f t="shared" si="2"/>
        <v>7</v>
      </c>
      <c r="B9" s="30"/>
      <c r="C9" s="23"/>
      <c r="D9" s="23"/>
      <c r="E9" s="23"/>
      <c r="F9" s="18" t="s">
        <v>31</v>
      </c>
      <c r="G9" s="31"/>
      <c r="H9" s="28"/>
      <c r="I9" s="23"/>
      <c r="J9" s="23"/>
      <c r="K9" s="21"/>
      <c r="L9" s="22"/>
      <c r="M9" s="23"/>
      <c r="N9" s="23"/>
      <c r="O9" s="21"/>
      <c r="P9" s="22" t="b">
        <v>0</v>
      </c>
      <c r="Q9" s="23"/>
      <c r="R9" s="23"/>
      <c r="S9" s="23"/>
      <c r="T9" s="23"/>
      <c r="U9" s="23"/>
      <c r="V9" s="25"/>
      <c r="W9" s="21"/>
      <c r="X9" s="27"/>
      <c r="Y9" s="27"/>
      <c r="Z9" s="27"/>
      <c r="AA9" s="1"/>
      <c r="AB9" s="1"/>
      <c r="AC9" s="1"/>
      <c r="AD9" s="1"/>
      <c r="AE9" s="1"/>
      <c r="AF9" s="1"/>
      <c r="AG9" s="1"/>
      <c r="AH9" s="1"/>
      <c r="AI9" s="1"/>
    </row>
    <row r="10">
      <c r="A10" s="16">
        <f t="shared" si="2"/>
        <v>8</v>
      </c>
      <c r="B10" s="30"/>
      <c r="C10" s="23"/>
      <c r="D10" s="23"/>
      <c r="E10" s="23"/>
      <c r="F10" s="18" t="s">
        <v>31</v>
      </c>
      <c r="G10" s="31"/>
      <c r="H10" s="28"/>
      <c r="I10" s="23"/>
      <c r="J10" s="23"/>
      <c r="K10" s="21"/>
      <c r="L10" s="22"/>
      <c r="M10" s="23"/>
      <c r="N10" s="23"/>
      <c r="O10" s="21"/>
      <c r="P10" s="22" t="b">
        <v>0</v>
      </c>
      <c r="Q10" s="23"/>
      <c r="R10" s="23"/>
      <c r="S10" s="23"/>
      <c r="T10" s="23"/>
      <c r="U10" s="23"/>
      <c r="V10" s="25"/>
      <c r="W10" s="21"/>
      <c r="X10" s="27"/>
      <c r="Y10" s="27"/>
      <c r="Z10" s="27"/>
      <c r="AA10" s="1"/>
      <c r="AB10" s="1"/>
      <c r="AC10" s="1"/>
      <c r="AD10" s="1"/>
      <c r="AE10" s="1"/>
      <c r="AF10" s="1"/>
      <c r="AG10" s="1"/>
      <c r="AH10" s="1"/>
      <c r="AI10" s="1"/>
    </row>
    <row r="11">
      <c r="A11" s="16">
        <f t="shared" si="2"/>
        <v>9</v>
      </c>
      <c r="B11" s="30"/>
      <c r="C11" s="23"/>
      <c r="D11" s="23"/>
      <c r="E11" s="23"/>
      <c r="F11" s="18" t="s">
        <v>31</v>
      </c>
      <c r="G11" s="31"/>
      <c r="H11" s="28"/>
      <c r="I11" s="23"/>
      <c r="J11" s="23"/>
      <c r="K11" s="21"/>
      <c r="L11" s="22"/>
      <c r="M11" s="23"/>
      <c r="N11" s="23"/>
      <c r="O11" s="21"/>
      <c r="P11" s="22" t="b">
        <v>0</v>
      </c>
      <c r="Q11" s="23"/>
      <c r="R11" s="23"/>
      <c r="S11" s="23"/>
      <c r="T11" s="23"/>
      <c r="U11" s="23"/>
      <c r="V11" s="25"/>
      <c r="W11" s="21"/>
      <c r="X11" s="27"/>
      <c r="Y11" s="27"/>
      <c r="Z11" s="27"/>
      <c r="AA11" s="1"/>
      <c r="AB11" s="1"/>
      <c r="AC11" s="1"/>
      <c r="AD11" s="1"/>
      <c r="AE11" s="1"/>
      <c r="AF11" s="1"/>
      <c r="AG11" s="1"/>
      <c r="AH11" s="1"/>
      <c r="AI11" s="1"/>
    </row>
    <row r="12">
      <c r="A12" s="16">
        <f t="shared" si="2"/>
        <v>10</v>
      </c>
      <c r="B12" s="30"/>
      <c r="C12" s="23"/>
      <c r="D12" s="23"/>
      <c r="E12" s="23"/>
      <c r="F12" s="18" t="s">
        <v>31</v>
      </c>
      <c r="G12" s="31"/>
      <c r="H12" s="28"/>
      <c r="I12" s="23"/>
      <c r="J12" s="23"/>
      <c r="K12" s="21"/>
      <c r="L12" s="22"/>
      <c r="M12" s="23"/>
      <c r="N12" s="23"/>
      <c r="O12" s="21"/>
      <c r="P12" s="22" t="b">
        <v>0</v>
      </c>
      <c r="Q12" s="23"/>
      <c r="R12" s="23"/>
      <c r="S12" s="23"/>
      <c r="T12" s="23"/>
      <c r="U12" s="23"/>
      <c r="V12" s="25"/>
      <c r="W12" s="21"/>
      <c r="X12" s="27"/>
      <c r="Y12" s="27"/>
      <c r="Z12" s="27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6">
        <f t="shared" si="2"/>
        <v>11</v>
      </c>
      <c r="B13" s="30"/>
      <c r="C13" s="23"/>
      <c r="D13" s="23"/>
      <c r="E13" s="23"/>
      <c r="F13" s="18" t="s">
        <v>31</v>
      </c>
      <c r="G13" s="31"/>
      <c r="H13" s="28"/>
      <c r="I13" s="23"/>
      <c r="J13" s="23"/>
      <c r="K13" s="21"/>
      <c r="L13" s="22"/>
      <c r="M13" s="23"/>
      <c r="N13" s="23"/>
      <c r="O13" s="21"/>
      <c r="P13" s="22"/>
      <c r="Q13" s="23"/>
      <c r="R13" s="23"/>
      <c r="S13" s="23"/>
      <c r="T13" s="23"/>
      <c r="U13" s="23"/>
      <c r="V13" s="25"/>
      <c r="W13" s="21"/>
      <c r="X13" s="27"/>
      <c r="Y13" s="27"/>
      <c r="Z13" s="27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6">
        <f t="shared" si="2"/>
        <v>12</v>
      </c>
      <c r="B14" s="30"/>
      <c r="C14" s="23"/>
      <c r="D14" s="23"/>
      <c r="E14" s="23"/>
      <c r="F14" s="18" t="s">
        <v>31</v>
      </c>
      <c r="G14" s="31"/>
      <c r="H14" s="28"/>
      <c r="I14" s="23"/>
      <c r="J14" s="23"/>
      <c r="K14" s="21"/>
      <c r="L14" s="22"/>
      <c r="M14" s="23"/>
      <c r="N14" s="23"/>
      <c r="O14" s="21"/>
      <c r="P14" s="22"/>
      <c r="Q14" s="23"/>
      <c r="R14" s="23"/>
      <c r="S14" s="23"/>
      <c r="T14" s="23"/>
      <c r="U14" s="23"/>
      <c r="V14" s="31"/>
      <c r="W14" s="21"/>
      <c r="X14" s="27"/>
      <c r="Y14" s="27"/>
      <c r="Z14" s="27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6">
        <f t="shared" si="2"/>
        <v>13</v>
      </c>
      <c r="B15" s="30"/>
      <c r="C15" s="23"/>
      <c r="D15" s="23"/>
      <c r="E15" s="23"/>
      <c r="F15" s="18" t="s">
        <v>31</v>
      </c>
      <c r="G15" s="31"/>
      <c r="H15" s="28"/>
      <c r="I15" s="23"/>
      <c r="J15" s="23"/>
      <c r="K15" s="21"/>
      <c r="L15" s="22"/>
      <c r="M15" s="23"/>
      <c r="N15" s="23"/>
      <c r="O15" s="21"/>
      <c r="P15" s="22"/>
      <c r="Q15" s="23"/>
      <c r="R15" s="23"/>
      <c r="S15" s="23"/>
      <c r="T15" s="23"/>
      <c r="U15" s="23"/>
      <c r="V15" s="31"/>
      <c r="W15" s="21"/>
      <c r="X15" s="27"/>
      <c r="Y15" s="27"/>
      <c r="Z15" s="27"/>
      <c r="AA15" s="1"/>
      <c r="AB15" s="1"/>
      <c r="AC15" s="1"/>
      <c r="AD15" s="1"/>
      <c r="AE15" s="1"/>
      <c r="AF15" s="1"/>
      <c r="AG15" s="1"/>
      <c r="AH15" s="1"/>
      <c r="AI15" s="1"/>
    </row>
    <row r="16">
      <c r="A16" s="16">
        <f t="shared" si="2"/>
        <v>14</v>
      </c>
      <c r="B16" s="30"/>
      <c r="C16" s="23"/>
      <c r="D16" s="23"/>
      <c r="E16" s="23"/>
      <c r="F16" s="18" t="s">
        <v>31</v>
      </c>
      <c r="G16" s="31"/>
      <c r="H16" s="28"/>
      <c r="I16" s="23"/>
      <c r="J16" s="23"/>
      <c r="K16" s="21"/>
      <c r="L16" s="22"/>
      <c r="M16" s="23"/>
      <c r="N16" s="23"/>
      <c r="O16" s="21"/>
      <c r="P16" s="22"/>
      <c r="Q16" s="23"/>
      <c r="R16" s="23"/>
      <c r="S16" s="23"/>
      <c r="T16" s="23"/>
      <c r="U16" s="23"/>
      <c r="V16" s="31"/>
      <c r="W16" s="21"/>
      <c r="X16" s="27"/>
      <c r="Y16" s="27"/>
      <c r="Z16" s="27"/>
      <c r="AA16" s="1"/>
      <c r="AB16" s="1"/>
      <c r="AC16" s="1"/>
      <c r="AD16" s="1"/>
      <c r="AE16" s="1"/>
      <c r="AF16" s="1"/>
      <c r="AG16" s="1"/>
      <c r="AH16" s="1"/>
      <c r="AI16" s="1"/>
    </row>
    <row r="17">
      <c r="A17" s="16">
        <f t="shared" si="2"/>
        <v>15</v>
      </c>
      <c r="B17" s="17" t="s">
        <v>48</v>
      </c>
      <c r="C17" s="18" t="s">
        <v>48</v>
      </c>
      <c r="D17" s="18" t="s">
        <v>48</v>
      </c>
      <c r="E17" s="18" t="s">
        <v>48</v>
      </c>
      <c r="F17" s="19" t="s">
        <v>49</v>
      </c>
      <c r="G17" s="19" t="s">
        <v>49</v>
      </c>
      <c r="H17" s="19" t="s">
        <v>49</v>
      </c>
      <c r="I17" s="18" t="s">
        <v>48</v>
      </c>
      <c r="J17" s="19" t="s">
        <v>49</v>
      </c>
      <c r="K17" s="19" t="s">
        <v>49</v>
      </c>
      <c r="L17" s="19" t="s">
        <v>49</v>
      </c>
      <c r="M17" s="18" t="s">
        <v>48</v>
      </c>
      <c r="N17" s="19" t="s">
        <v>49</v>
      </c>
      <c r="O17" s="19" t="s">
        <v>49</v>
      </c>
      <c r="P17" s="24" t="s">
        <v>50</v>
      </c>
      <c r="Q17" s="24" t="s">
        <v>50</v>
      </c>
      <c r="R17" s="19" t="s">
        <v>49</v>
      </c>
      <c r="S17" s="24" t="s">
        <v>50</v>
      </c>
      <c r="T17" s="18" t="s">
        <v>48</v>
      </c>
      <c r="U17" s="24" t="s">
        <v>50</v>
      </c>
      <c r="V17" s="24"/>
      <c r="W17" s="18" t="s">
        <v>48</v>
      </c>
      <c r="X17" s="32"/>
      <c r="Y17" s="32"/>
      <c r="Z17" s="32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6">
        <f t="shared" si="2"/>
        <v>16</v>
      </c>
      <c r="B18" s="30"/>
      <c r="C18" s="23"/>
      <c r="D18" s="23"/>
      <c r="E18" s="23"/>
      <c r="F18" s="18" t="s">
        <v>51</v>
      </c>
      <c r="G18" s="19" t="s">
        <v>32</v>
      </c>
      <c r="H18" s="20" t="s">
        <v>33</v>
      </c>
      <c r="I18" s="23"/>
      <c r="J18" s="18" t="s">
        <v>35</v>
      </c>
      <c r="K18" s="29" t="s">
        <v>52</v>
      </c>
      <c r="L18" s="24" t="s">
        <v>53</v>
      </c>
      <c r="M18" s="23"/>
      <c r="N18" s="18" t="s">
        <v>41</v>
      </c>
      <c r="O18" s="29" t="s">
        <v>54</v>
      </c>
      <c r="P18" s="24"/>
      <c r="Q18" s="18"/>
      <c r="R18" s="18" t="s">
        <v>55</v>
      </c>
      <c r="S18" s="23"/>
      <c r="T18" s="23"/>
      <c r="U18" s="23"/>
      <c r="V18" s="31"/>
      <c r="W18" s="21"/>
      <c r="X18" s="26"/>
      <c r="Y18" s="26"/>
      <c r="Z18" s="26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6">
        <f t="shared" si="2"/>
        <v>17</v>
      </c>
      <c r="B19" s="30"/>
      <c r="C19" s="23"/>
      <c r="D19" s="23"/>
      <c r="E19" s="23"/>
      <c r="F19" s="18" t="s">
        <v>56</v>
      </c>
      <c r="G19" s="19" t="s">
        <v>38</v>
      </c>
      <c r="H19" s="20" t="s">
        <v>44</v>
      </c>
      <c r="I19" s="23"/>
      <c r="J19" s="18" t="s">
        <v>46</v>
      </c>
      <c r="K19" s="29" t="s">
        <v>57</v>
      </c>
      <c r="L19" s="24" t="s">
        <v>39</v>
      </c>
      <c r="M19" s="23"/>
      <c r="N19" s="18" t="s">
        <v>58</v>
      </c>
      <c r="O19" s="29" t="s">
        <v>59</v>
      </c>
      <c r="P19" s="22"/>
      <c r="Q19" s="23"/>
      <c r="R19" s="18" t="s">
        <v>60</v>
      </c>
      <c r="S19" s="23"/>
      <c r="T19" s="23"/>
      <c r="U19" s="23"/>
      <c r="V19" s="31"/>
      <c r="W19" s="21"/>
      <c r="X19" s="27"/>
      <c r="Y19" s="27"/>
      <c r="Z19" s="27"/>
      <c r="AA19" s="1"/>
      <c r="AB19" s="1"/>
      <c r="AC19" s="1"/>
      <c r="AD19" s="1"/>
      <c r="AE19" s="1"/>
      <c r="AF19" s="1"/>
      <c r="AG19" s="1"/>
      <c r="AH19" s="1"/>
      <c r="AI19" s="1"/>
    </row>
    <row r="20">
      <c r="A20" s="16">
        <f t="shared" si="2"/>
        <v>18</v>
      </c>
      <c r="B20" s="30"/>
      <c r="C20" s="23"/>
      <c r="D20" s="23"/>
      <c r="E20" s="23"/>
      <c r="F20" s="23"/>
      <c r="G20" s="19" t="s">
        <v>25</v>
      </c>
      <c r="H20" s="20" t="s">
        <v>61</v>
      </c>
      <c r="I20" s="23"/>
      <c r="J20" s="18"/>
      <c r="K20" s="29" t="s">
        <v>20</v>
      </c>
      <c r="L20" s="24" t="s">
        <v>62</v>
      </c>
      <c r="M20" s="23"/>
      <c r="N20" s="18"/>
      <c r="O20" s="29" t="s">
        <v>20</v>
      </c>
      <c r="P20" s="22"/>
      <c r="Q20" s="23"/>
      <c r="R20" s="23"/>
      <c r="S20" s="23"/>
      <c r="T20" s="23"/>
      <c r="U20" s="23"/>
      <c r="V20" s="31"/>
      <c r="W20" s="21"/>
      <c r="X20" s="27"/>
      <c r="Y20" s="27"/>
      <c r="Z20" s="27"/>
      <c r="AA20" s="1"/>
      <c r="AB20" s="1"/>
      <c r="AC20" s="1"/>
      <c r="AD20" s="1"/>
      <c r="AE20" s="1"/>
      <c r="AF20" s="1"/>
      <c r="AG20" s="1"/>
      <c r="AH20" s="1"/>
      <c r="AI20" s="1"/>
    </row>
    <row r="21">
      <c r="A21" s="16">
        <f t="shared" si="2"/>
        <v>19</v>
      </c>
      <c r="B21" s="30"/>
      <c r="C21" s="23"/>
      <c r="D21" s="23"/>
      <c r="E21" s="23"/>
      <c r="F21" s="23"/>
      <c r="G21" s="31"/>
      <c r="H21" s="20" t="s">
        <v>63</v>
      </c>
      <c r="I21" s="23"/>
      <c r="J21" s="18"/>
      <c r="K21" s="29" t="s">
        <v>47</v>
      </c>
      <c r="L21" s="24" t="s">
        <v>64</v>
      </c>
      <c r="M21" s="23"/>
      <c r="N21" s="18"/>
      <c r="O21" s="29" t="s">
        <v>47</v>
      </c>
      <c r="P21" s="22"/>
      <c r="Q21" s="23"/>
      <c r="R21" s="23"/>
      <c r="S21" s="23"/>
      <c r="T21" s="23"/>
      <c r="U21" s="23"/>
      <c r="V21" s="31"/>
      <c r="W21" s="21"/>
      <c r="X21" s="27"/>
      <c r="Y21" s="27"/>
      <c r="Z21" s="27"/>
      <c r="AA21" s="1"/>
      <c r="AB21" s="1"/>
      <c r="AC21" s="1"/>
      <c r="AD21" s="1"/>
      <c r="AE21" s="1"/>
      <c r="AF21" s="1"/>
      <c r="AG21" s="1"/>
      <c r="AH21" s="1"/>
      <c r="AI21" s="1"/>
    </row>
    <row r="22">
      <c r="A22" s="16">
        <f t="shared" si="2"/>
        <v>20</v>
      </c>
      <c r="B22" s="30"/>
      <c r="C22" s="23"/>
      <c r="D22" s="23"/>
      <c r="E22" s="23"/>
      <c r="F22" s="23"/>
      <c r="G22" s="31"/>
      <c r="H22" s="20" t="s">
        <v>25</v>
      </c>
      <c r="I22" s="23"/>
      <c r="J22" s="23"/>
      <c r="K22" s="29" t="s">
        <v>65</v>
      </c>
      <c r="L22" s="24" t="s">
        <v>66</v>
      </c>
      <c r="M22" s="23"/>
      <c r="N22" s="18"/>
      <c r="O22" s="29" t="s">
        <v>67</v>
      </c>
      <c r="P22" s="22"/>
      <c r="Q22" s="23"/>
      <c r="R22" s="23"/>
      <c r="S22" s="23"/>
      <c r="T22" s="23"/>
      <c r="U22" s="23"/>
      <c r="V22" s="31"/>
      <c r="W22" s="21"/>
      <c r="X22" s="27"/>
      <c r="Y22" s="27"/>
      <c r="Z22" s="27"/>
      <c r="AA22" s="1"/>
      <c r="AB22" s="1"/>
      <c r="AC22" s="1"/>
      <c r="AD22" s="1"/>
      <c r="AE22" s="1"/>
      <c r="AF22" s="1"/>
      <c r="AG22" s="1"/>
      <c r="AH22" s="1"/>
      <c r="AI22" s="1"/>
    </row>
    <row r="23">
      <c r="A23" s="16">
        <f t="shared" si="2"/>
        <v>21</v>
      </c>
      <c r="B23" s="30"/>
      <c r="C23" s="23"/>
      <c r="D23" s="23"/>
      <c r="E23" s="23"/>
      <c r="F23" s="23"/>
      <c r="G23" s="31"/>
      <c r="H23" s="28"/>
      <c r="I23" s="23"/>
      <c r="J23" s="23"/>
      <c r="K23" s="29" t="s">
        <v>68</v>
      </c>
      <c r="L23" s="24" t="s">
        <v>69</v>
      </c>
      <c r="M23" s="23"/>
      <c r="N23" s="18"/>
      <c r="O23" s="29" t="s">
        <v>25</v>
      </c>
      <c r="P23" s="22"/>
      <c r="Q23" s="23"/>
      <c r="R23" s="23"/>
      <c r="S23" s="23"/>
      <c r="T23" s="23"/>
      <c r="U23" s="23"/>
      <c r="V23" s="31"/>
      <c r="W23" s="21"/>
      <c r="X23" s="27"/>
      <c r="Y23" s="27"/>
      <c r="Z23" s="27"/>
      <c r="AA23" s="1"/>
      <c r="AB23" s="1"/>
      <c r="AC23" s="1"/>
      <c r="AD23" s="1"/>
      <c r="AE23" s="1"/>
      <c r="AF23" s="1"/>
      <c r="AG23" s="1"/>
      <c r="AH23" s="1"/>
      <c r="AI23" s="1"/>
    </row>
    <row r="24">
      <c r="A24" s="16">
        <f t="shared" si="2"/>
        <v>22</v>
      </c>
      <c r="B24" s="30"/>
      <c r="C24" s="23"/>
      <c r="D24" s="23"/>
      <c r="E24" s="23"/>
      <c r="F24" s="23"/>
      <c r="G24" s="31"/>
      <c r="H24" s="28"/>
      <c r="I24" s="23"/>
      <c r="J24" s="23"/>
      <c r="K24" s="29" t="s">
        <v>54</v>
      </c>
      <c r="L24" s="22"/>
      <c r="M24" s="23"/>
      <c r="N24" s="23"/>
      <c r="O24" s="21"/>
      <c r="P24" s="22"/>
      <c r="Q24" s="23"/>
      <c r="R24" s="23"/>
      <c r="S24" s="23"/>
      <c r="T24" s="23"/>
      <c r="U24" s="23"/>
      <c r="V24" s="31"/>
      <c r="W24" s="21"/>
      <c r="X24" s="27"/>
      <c r="Y24" s="27"/>
      <c r="Z24" s="27"/>
      <c r="AA24" s="1"/>
      <c r="AB24" s="1"/>
      <c r="AC24" s="1"/>
      <c r="AD24" s="1"/>
      <c r="AE24" s="1"/>
      <c r="AF24" s="1"/>
      <c r="AG24" s="1"/>
      <c r="AH24" s="1"/>
      <c r="AI24" s="1"/>
    </row>
    <row r="25">
      <c r="A25" s="16">
        <f t="shared" si="2"/>
        <v>23</v>
      </c>
      <c r="B25" s="30"/>
      <c r="C25" s="23"/>
      <c r="D25" s="23"/>
      <c r="E25" s="23"/>
      <c r="F25" s="23"/>
      <c r="G25" s="31"/>
      <c r="H25" s="28"/>
      <c r="I25" s="23"/>
      <c r="J25" s="23"/>
      <c r="K25" s="29" t="s">
        <v>67</v>
      </c>
      <c r="L25" s="22"/>
      <c r="M25" s="23"/>
      <c r="N25" s="23"/>
      <c r="O25" s="21"/>
      <c r="P25" s="22"/>
      <c r="Q25" s="23"/>
      <c r="R25" s="23"/>
      <c r="S25" s="23"/>
      <c r="T25" s="23"/>
      <c r="U25" s="23"/>
      <c r="V25" s="31"/>
      <c r="W25" s="21"/>
      <c r="X25" s="27"/>
      <c r="Y25" s="27"/>
      <c r="Z25" s="27"/>
      <c r="AA25" s="1"/>
      <c r="AB25" s="1"/>
      <c r="AC25" s="1"/>
      <c r="AD25" s="1"/>
      <c r="AE25" s="1"/>
      <c r="AF25" s="1"/>
      <c r="AG25" s="1"/>
      <c r="AH25" s="1"/>
      <c r="AI25" s="1"/>
    </row>
    <row r="26">
      <c r="A26" s="16">
        <f t="shared" si="2"/>
        <v>24</v>
      </c>
      <c r="B26" s="30"/>
      <c r="C26" s="23"/>
      <c r="D26" s="23"/>
      <c r="E26" s="23"/>
      <c r="F26" s="23"/>
      <c r="G26" s="31"/>
      <c r="H26" s="28"/>
      <c r="I26" s="23"/>
      <c r="J26" s="23"/>
      <c r="K26" s="29" t="s">
        <v>25</v>
      </c>
      <c r="L26" s="22"/>
      <c r="M26" s="23"/>
      <c r="N26" s="23"/>
      <c r="O26" s="21"/>
      <c r="P26" s="22"/>
      <c r="Q26" s="23"/>
      <c r="R26" s="23"/>
      <c r="S26" s="23"/>
      <c r="T26" s="23"/>
      <c r="U26" s="23"/>
      <c r="V26" s="31"/>
      <c r="W26" s="21"/>
      <c r="X26" s="27"/>
      <c r="Y26" s="27"/>
      <c r="Z26" s="27"/>
      <c r="AA26" s="1"/>
      <c r="AB26" s="1"/>
      <c r="AC26" s="1"/>
      <c r="AD26" s="1"/>
      <c r="AE26" s="1"/>
      <c r="AF26" s="1"/>
      <c r="AG26" s="1"/>
      <c r="AH26" s="1"/>
      <c r="AI26" s="1"/>
    </row>
    <row r="27">
      <c r="A27" s="16">
        <f t="shared" si="2"/>
        <v>25</v>
      </c>
      <c r="B27" s="30"/>
      <c r="C27" s="23"/>
      <c r="D27" s="23"/>
      <c r="E27" s="23"/>
      <c r="F27" s="23"/>
      <c r="G27" s="31"/>
      <c r="H27" s="28"/>
      <c r="I27" s="23"/>
      <c r="J27" s="23"/>
      <c r="K27" s="21"/>
      <c r="L27" s="22"/>
      <c r="M27" s="23"/>
      <c r="N27" s="23"/>
      <c r="O27" s="21"/>
      <c r="P27" s="22"/>
      <c r="Q27" s="23"/>
      <c r="R27" s="23"/>
      <c r="S27" s="23"/>
      <c r="T27" s="23"/>
      <c r="U27" s="23"/>
      <c r="V27" s="31"/>
      <c r="W27" s="21"/>
      <c r="X27" s="27"/>
      <c r="Y27" s="27"/>
      <c r="Z27" s="27"/>
      <c r="AA27" s="1"/>
      <c r="AB27" s="1"/>
      <c r="AC27" s="1"/>
      <c r="AD27" s="1"/>
      <c r="AE27" s="1"/>
      <c r="AF27" s="1"/>
      <c r="AG27" s="1"/>
      <c r="AH27" s="1"/>
      <c r="AI27" s="1"/>
    </row>
    <row r="28">
      <c r="A28" s="16">
        <f t="shared" si="2"/>
        <v>26</v>
      </c>
      <c r="B28" s="30"/>
      <c r="C28" s="23"/>
      <c r="D28" s="23"/>
      <c r="E28" s="23"/>
      <c r="F28" s="23"/>
      <c r="G28" s="31"/>
      <c r="H28" s="28"/>
      <c r="I28" s="23"/>
      <c r="J28" s="23"/>
      <c r="K28" s="21"/>
      <c r="L28" s="22"/>
      <c r="M28" s="23"/>
      <c r="N28" s="23"/>
      <c r="O28" s="21"/>
      <c r="P28" s="22"/>
      <c r="Q28" s="23"/>
      <c r="R28" s="23"/>
      <c r="S28" s="23"/>
      <c r="T28" s="23"/>
      <c r="U28" s="23"/>
      <c r="V28" s="31"/>
      <c r="W28" s="21"/>
      <c r="X28" s="27"/>
      <c r="Y28" s="27"/>
      <c r="Z28" s="27"/>
      <c r="AA28" s="1"/>
      <c r="AB28" s="1"/>
      <c r="AC28" s="1"/>
      <c r="AD28" s="1"/>
      <c r="AE28" s="1"/>
      <c r="AF28" s="1"/>
      <c r="AG28" s="1"/>
      <c r="AH28" s="1"/>
      <c r="AI28" s="1"/>
    </row>
    <row r="29">
      <c r="A29" s="16">
        <f t="shared" si="2"/>
        <v>27</v>
      </c>
      <c r="B29" s="30"/>
      <c r="C29" s="23"/>
      <c r="D29" s="23"/>
      <c r="E29" s="23"/>
      <c r="F29" s="23"/>
      <c r="G29" s="31"/>
      <c r="H29" s="28"/>
      <c r="I29" s="23"/>
      <c r="J29" s="23"/>
      <c r="K29" s="21"/>
      <c r="L29" s="22"/>
      <c r="M29" s="23"/>
      <c r="N29" s="23"/>
      <c r="O29" s="21"/>
      <c r="P29" s="22"/>
      <c r="Q29" s="23"/>
      <c r="R29" s="23"/>
      <c r="S29" s="23"/>
      <c r="T29" s="23"/>
      <c r="U29" s="23"/>
      <c r="V29" s="31"/>
      <c r="W29" s="21"/>
      <c r="X29" s="27"/>
      <c r="Y29" s="27"/>
      <c r="Z29" s="27"/>
      <c r="AA29" s="1"/>
      <c r="AB29" s="1"/>
      <c r="AC29" s="1"/>
      <c r="AD29" s="1"/>
      <c r="AE29" s="1"/>
      <c r="AF29" s="1"/>
      <c r="AG29" s="1"/>
      <c r="AH29" s="1"/>
      <c r="AI29" s="1"/>
    </row>
    <row r="30">
      <c r="A30" s="16">
        <f t="shared" si="2"/>
        <v>28</v>
      </c>
      <c r="B30" s="30"/>
      <c r="C30" s="23"/>
      <c r="D30" s="23"/>
      <c r="E30" s="23"/>
      <c r="F30" s="23"/>
      <c r="G30" s="31"/>
      <c r="H30" s="28"/>
      <c r="I30" s="23"/>
      <c r="J30" s="23"/>
      <c r="K30" s="21"/>
      <c r="L30" s="22"/>
      <c r="M30" s="23"/>
      <c r="N30" s="23"/>
      <c r="O30" s="21"/>
      <c r="P30" s="22"/>
      <c r="Q30" s="23"/>
      <c r="R30" s="23"/>
      <c r="S30" s="23"/>
      <c r="T30" s="23"/>
      <c r="U30" s="23"/>
      <c r="V30" s="31"/>
      <c r="W30" s="21"/>
      <c r="X30" s="27"/>
      <c r="Y30" s="27"/>
      <c r="Z30" s="27"/>
      <c r="AA30" s="1"/>
      <c r="AB30" s="1"/>
      <c r="AC30" s="1"/>
      <c r="AD30" s="1"/>
      <c r="AE30" s="1"/>
      <c r="AF30" s="1"/>
      <c r="AG30" s="1"/>
      <c r="AH30" s="1"/>
      <c r="AI30" s="1"/>
    </row>
    <row r="31">
      <c r="A31" s="16">
        <f t="shared" si="2"/>
        <v>29</v>
      </c>
      <c r="B31" s="30"/>
      <c r="C31" s="23"/>
      <c r="D31" s="23"/>
      <c r="E31" s="23"/>
      <c r="F31" s="23"/>
      <c r="G31" s="31"/>
      <c r="H31" s="28"/>
      <c r="I31" s="23"/>
      <c r="J31" s="23"/>
      <c r="K31" s="21"/>
      <c r="L31" s="22"/>
      <c r="M31" s="23"/>
      <c r="N31" s="23"/>
      <c r="O31" s="21"/>
      <c r="P31" s="22"/>
      <c r="Q31" s="23"/>
      <c r="R31" s="23"/>
      <c r="S31" s="23"/>
      <c r="T31" s="23"/>
      <c r="U31" s="23"/>
      <c r="V31" s="31"/>
      <c r="W31" s="21"/>
      <c r="X31" s="27"/>
      <c r="Y31" s="27"/>
      <c r="Z31" s="27"/>
      <c r="AA31" s="1"/>
      <c r="AB31" s="1"/>
      <c r="AC31" s="1"/>
      <c r="AD31" s="1"/>
      <c r="AE31" s="1"/>
      <c r="AF31" s="1"/>
      <c r="AG31" s="1"/>
      <c r="AH31" s="1"/>
      <c r="AI31" s="1"/>
    </row>
    <row r="32">
      <c r="A32" s="33">
        <f t="shared" si="2"/>
        <v>30</v>
      </c>
      <c r="B32" s="3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35"/>
      <c r="Y32" s="35"/>
      <c r="Z32" s="35"/>
      <c r="AA32" s="1"/>
      <c r="AB32" s="1"/>
      <c r="AC32" s="1"/>
      <c r="AD32" s="1"/>
      <c r="AE32" s="1"/>
      <c r="AF32" s="1"/>
      <c r="AG32" s="1"/>
      <c r="AH32" s="1"/>
      <c r="AI32" s="1"/>
    </row>
    <row r="33">
      <c r="A33" s="1"/>
      <c r="B33" s="3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35"/>
      <c r="Y33" s="35"/>
      <c r="Z33" s="35"/>
      <c r="AA33" s="1"/>
      <c r="AB33" s="1"/>
      <c r="AC33" s="1"/>
      <c r="AD33" s="1"/>
      <c r="AE33" s="1"/>
      <c r="AF33" s="1"/>
      <c r="AG33" s="1"/>
      <c r="AH33" s="1"/>
      <c r="AI33" s="1"/>
    </row>
    <row r="34">
      <c r="A34" s="1"/>
      <c r="B34" s="3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35"/>
      <c r="Y34" s="35"/>
      <c r="Z34" s="35"/>
      <c r="AA34" s="1"/>
      <c r="AB34" s="1"/>
      <c r="AC34" s="1"/>
      <c r="AD34" s="1"/>
      <c r="AE34" s="1"/>
      <c r="AF34" s="1"/>
      <c r="AG34" s="1"/>
      <c r="AH34" s="1"/>
      <c r="AI34" s="1"/>
    </row>
    <row r="35">
      <c r="A35" s="1"/>
      <c r="B35" s="3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35"/>
      <c r="Y35" s="36"/>
      <c r="Z35" s="35"/>
      <c r="AA35" s="1"/>
      <c r="AB35" s="1"/>
      <c r="AC35" s="1"/>
      <c r="AD35" s="1"/>
      <c r="AE35" s="1"/>
      <c r="AF35" s="1"/>
      <c r="AG35" s="1"/>
      <c r="AH35" s="1"/>
      <c r="AI35" s="1"/>
    </row>
    <row r="36">
      <c r="A36" s="1"/>
      <c r="B36" s="3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35"/>
      <c r="Y36" s="35"/>
      <c r="Z36" s="35"/>
      <c r="AA36" s="1"/>
      <c r="AB36" s="1"/>
      <c r="AC36" s="1"/>
      <c r="AD36" s="1"/>
      <c r="AE36" s="1"/>
      <c r="AF36" s="1"/>
      <c r="AG36" s="1"/>
      <c r="AH36" s="1"/>
      <c r="AI36" s="1"/>
    </row>
    <row r="37">
      <c r="A37" s="1"/>
      <c r="B37" s="3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35"/>
      <c r="Y37" s="35"/>
      <c r="Z37" s="35"/>
      <c r="AA37" s="1"/>
      <c r="AB37" s="1"/>
      <c r="AC37" s="1"/>
      <c r="AD37" s="1"/>
      <c r="AE37" s="1"/>
      <c r="AF37" s="1"/>
      <c r="AG37" s="1"/>
      <c r="AH37" s="1"/>
      <c r="AI37" s="1"/>
    </row>
    <row r="38">
      <c r="A38" s="1"/>
      <c r="B38" s="3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35"/>
      <c r="Y38" s="35"/>
      <c r="Z38" s="35"/>
      <c r="AA38" s="1"/>
      <c r="AB38" s="1"/>
      <c r="AC38" s="1"/>
      <c r="AD38" s="1"/>
      <c r="AE38" s="1"/>
      <c r="AF38" s="1"/>
      <c r="AG38" s="1"/>
      <c r="AH38" s="1"/>
      <c r="AI38" s="1"/>
    </row>
    <row r="39">
      <c r="A39" s="1"/>
      <c r="B39" s="3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35"/>
      <c r="Y39" s="35"/>
      <c r="Z39" s="35"/>
      <c r="AA39" s="1"/>
      <c r="AB39" s="1"/>
      <c r="AC39" s="1"/>
      <c r="AD39" s="1"/>
      <c r="AE39" s="1"/>
      <c r="AF39" s="1"/>
      <c r="AG39" s="1"/>
      <c r="AH39" s="1"/>
      <c r="AI39" s="1"/>
    </row>
    <row r="40">
      <c r="A40" s="1"/>
      <c r="B40" s="3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35"/>
      <c r="Y40" s="35"/>
      <c r="Z40" s="35"/>
      <c r="AA40" s="1"/>
      <c r="AB40" s="1"/>
      <c r="AC40" s="1"/>
      <c r="AD40" s="1"/>
      <c r="AE40" s="1"/>
      <c r="AF40" s="1"/>
      <c r="AG40" s="1"/>
      <c r="AH40" s="1"/>
      <c r="AI40" s="1"/>
    </row>
    <row r="41">
      <c r="A41" s="1"/>
      <c r="B41" s="3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35"/>
      <c r="Y41" s="35"/>
      <c r="Z41" s="35"/>
      <c r="AA41" s="1"/>
      <c r="AB41" s="1"/>
      <c r="AC41" s="1"/>
      <c r="AD41" s="1"/>
      <c r="AE41" s="1"/>
      <c r="AF41" s="1"/>
      <c r="AG41" s="1"/>
      <c r="AH41" s="1"/>
      <c r="AI41" s="1"/>
    </row>
    <row r="42">
      <c r="A42" s="1"/>
      <c r="B42" s="3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35"/>
      <c r="Y42" s="35"/>
      <c r="Z42" s="35"/>
      <c r="AA42" s="1"/>
      <c r="AB42" s="1"/>
      <c r="AC42" s="1"/>
      <c r="AD42" s="1"/>
      <c r="AE42" s="1"/>
      <c r="AF42" s="1"/>
      <c r="AG42" s="1"/>
      <c r="AH42" s="1"/>
      <c r="AI42" s="1"/>
    </row>
    <row r="43">
      <c r="A43" s="1"/>
      <c r="B43" s="3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35"/>
      <c r="Y43" s="35"/>
      <c r="Z43" s="35"/>
      <c r="AA43" s="1"/>
      <c r="AB43" s="1"/>
      <c r="AC43" s="1"/>
      <c r="AD43" s="1"/>
      <c r="AE43" s="1"/>
      <c r="AF43" s="1"/>
      <c r="AG43" s="1"/>
      <c r="AH43" s="1"/>
      <c r="AI43" s="1"/>
    </row>
    <row r="44">
      <c r="A44" s="1"/>
      <c r="B44" s="3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35"/>
      <c r="Y44" s="35"/>
      <c r="Z44" s="35"/>
      <c r="AA44" s="1"/>
      <c r="AB44" s="1"/>
      <c r="AC44" s="1"/>
      <c r="AD44" s="1"/>
      <c r="AE44" s="1"/>
      <c r="AF44" s="1"/>
      <c r="AG44" s="1"/>
      <c r="AH44" s="1"/>
      <c r="AI44" s="1"/>
    </row>
    <row r="45">
      <c r="A45" s="1"/>
      <c r="B45" s="3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35"/>
      <c r="Y45" s="35"/>
      <c r="Z45" s="35"/>
      <c r="AA45" s="1"/>
      <c r="AB45" s="1"/>
      <c r="AC45" s="1"/>
      <c r="AD45" s="1"/>
      <c r="AE45" s="1"/>
      <c r="AF45" s="1"/>
      <c r="AG45" s="1"/>
      <c r="AH45" s="1"/>
      <c r="AI45" s="1"/>
    </row>
    <row r="46">
      <c r="A46" s="1"/>
      <c r="B46" s="3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35"/>
      <c r="Y46" s="35"/>
      <c r="Z46" s="35"/>
      <c r="AA46" s="1"/>
      <c r="AB46" s="1"/>
      <c r="AC46" s="1"/>
      <c r="AD46" s="1"/>
      <c r="AE46" s="1"/>
      <c r="AF46" s="1"/>
      <c r="AG46" s="1"/>
      <c r="AH46" s="1"/>
      <c r="AI46" s="1"/>
    </row>
    <row r="47">
      <c r="A47" s="1"/>
      <c r="B47" s="3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35"/>
      <c r="Y47" s="35"/>
      <c r="Z47" s="35"/>
      <c r="AA47" s="1"/>
      <c r="AB47" s="1"/>
      <c r="AC47" s="1"/>
      <c r="AD47" s="1"/>
      <c r="AE47" s="1"/>
      <c r="AF47" s="1"/>
      <c r="AG47" s="1"/>
      <c r="AH47" s="1"/>
      <c r="AI47" s="1"/>
    </row>
    <row r="48">
      <c r="A48" s="1"/>
      <c r="B48" s="3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35"/>
      <c r="Y48" s="35"/>
      <c r="Z48" s="35"/>
      <c r="AA48" s="1"/>
      <c r="AB48" s="1"/>
      <c r="AC48" s="1"/>
      <c r="AD48" s="1"/>
      <c r="AE48" s="1"/>
      <c r="AF48" s="1"/>
      <c r="AG48" s="1"/>
      <c r="AH48" s="1"/>
      <c r="AI48" s="1"/>
    </row>
    <row r="49">
      <c r="A49" s="1"/>
      <c r="B49" s="3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35"/>
      <c r="Y49" s="35"/>
      <c r="Z49" s="35"/>
      <c r="AA49" s="1"/>
      <c r="AB49" s="1"/>
      <c r="AC49" s="1"/>
      <c r="AD49" s="1"/>
      <c r="AE49" s="1"/>
      <c r="AF49" s="1"/>
      <c r="AG49" s="1"/>
      <c r="AH49" s="1"/>
      <c r="AI49" s="1"/>
    </row>
    <row r="50">
      <c r="A50" s="1"/>
      <c r="B50" s="3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35"/>
      <c r="Y50" s="35"/>
      <c r="Z50" s="35"/>
      <c r="AA50" s="1"/>
      <c r="AB50" s="1"/>
      <c r="AC50" s="1"/>
      <c r="AD50" s="1"/>
      <c r="AE50" s="1"/>
      <c r="AF50" s="1"/>
      <c r="AG50" s="1"/>
      <c r="AH50" s="1"/>
      <c r="AI50" s="1"/>
    </row>
    <row r="51">
      <c r="A51" s="1"/>
      <c r="B51" s="3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35"/>
      <c r="Y51" s="35"/>
      <c r="Z51" s="35"/>
      <c r="AA51" s="1"/>
      <c r="AB51" s="1"/>
      <c r="AC51" s="1"/>
      <c r="AD51" s="1"/>
      <c r="AE51" s="1"/>
      <c r="AF51" s="1"/>
      <c r="AG51" s="1"/>
      <c r="AH51" s="1"/>
      <c r="AI51" s="1"/>
    </row>
    <row r="52">
      <c r="A52" s="1"/>
      <c r="B52" s="3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35"/>
      <c r="Y52" s="35"/>
      <c r="Z52" s="35"/>
      <c r="AA52" s="1"/>
      <c r="AB52" s="1"/>
      <c r="AC52" s="1"/>
      <c r="AD52" s="1"/>
      <c r="AE52" s="1"/>
      <c r="AF52" s="1"/>
      <c r="AG52" s="1"/>
      <c r="AH52" s="1"/>
      <c r="AI52" s="1"/>
    </row>
    <row r="53">
      <c r="A53" s="1"/>
      <c r="B53" s="3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35"/>
      <c r="Y53" s="35"/>
      <c r="Z53" s="35"/>
      <c r="AA53" s="1"/>
      <c r="AB53" s="1"/>
      <c r="AC53" s="1"/>
      <c r="AD53" s="1"/>
      <c r="AE53" s="1"/>
      <c r="AF53" s="1"/>
      <c r="AG53" s="1"/>
      <c r="AH53" s="1"/>
      <c r="AI53" s="1"/>
    </row>
    <row r="54">
      <c r="A54" s="1"/>
      <c r="B54" s="3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35"/>
      <c r="Y54" s="35"/>
      <c r="Z54" s="35"/>
      <c r="AA54" s="1"/>
      <c r="AB54" s="1"/>
      <c r="AC54" s="1"/>
      <c r="AD54" s="1"/>
      <c r="AE54" s="1"/>
      <c r="AF54" s="1"/>
      <c r="AG54" s="1"/>
      <c r="AH54" s="1"/>
      <c r="AI54" s="1"/>
    </row>
    <row r="55">
      <c r="A55" s="1"/>
      <c r="B55" s="3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35"/>
      <c r="Y55" s="35"/>
      <c r="Z55" s="35"/>
      <c r="AA55" s="1"/>
      <c r="AB55" s="1"/>
      <c r="AC55" s="1"/>
      <c r="AD55" s="1"/>
      <c r="AE55" s="1"/>
      <c r="AF55" s="1"/>
      <c r="AG55" s="1"/>
      <c r="AH55" s="1"/>
      <c r="AI55" s="1"/>
    </row>
    <row r="56">
      <c r="A56" s="1"/>
      <c r="B56" s="3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5"/>
      <c r="Y56" s="35"/>
      <c r="Z56" s="35"/>
      <c r="AA56" s="1"/>
      <c r="AB56" s="1"/>
      <c r="AC56" s="1"/>
      <c r="AD56" s="1"/>
      <c r="AE56" s="1"/>
      <c r="AF56" s="1"/>
      <c r="AG56" s="1"/>
      <c r="AH56" s="1"/>
      <c r="AI56" s="1"/>
    </row>
    <row r="57">
      <c r="A57" s="1"/>
      <c r="B57" s="3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35"/>
      <c r="Y57" s="35"/>
      <c r="Z57" s="35"/>
      <c r="AA57" s="1"/>
      <c r="AB57" s="1"/>
      <c r="AC57" s="1"/>
      <c r="AD57" s="1"/>
      <c r="AE57" s="1"/>
      <c r="AF57" s="1"/>
      <c r="AG57" s="1"/>
      <c r="AH57" s="1"/>
      <c r="AI57" s="1"/>
    </row>
    <row r="58">
      <c r="A58" s="1"/>
      <c r="B58" s="3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35"/>
      <c r="Y58" s="35"/>
      <c r="Z58" s="35"/>
      <c r="AA58" s="1"/>
      <c r="AB58" s="1"/>
      <c r="AC58" s="1"/>
      <c r="AD58" s="1"/>
      <c r="AE58" s="1"/>
      <c r="AF58" s="1"/>
      <c r="AG58" s="1"/>
      <c r="AH58" s="1"/>
      <c r="AI58" s="1"/>
    </row>
    <row r="59">
      <c r="A59" s="1"/>
      <c r="B59" s="3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35"/>
      <c r="Y59" s="35"/>
      <c r="Z59" s="35"/>
      <c r="AA59" s="1"/>
      <c r="AB59" s="1"/>
      <c r="AC59" s="1"/>
      <c r="AD59" s="1"/>
      <c r="AE59" s="1"/>
      <c r="AF59" s="1"/>
      <c r="AG59" s="1"/>
      <c r="AH59" s="1"/>
      <c r="AI59" s="1"/>
    </row>
    <row r="60">
      <c r="A60" s="1"/>
      <c r="B60" s="3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35"/>
      <c r="Y60" s="35"/>
      <c r="Z60" s="35"/>
      <c r="AA60" s="1"/>
      <c r="AB60" s="1"/>
      <c r="AC60" s="1"/>
      <c r="AD60" s="1"/>
      <c r="AE60" s="1"/>
      <c r="AF60" s="1"/>
      <c r="AG60" s="1"/>
      <c r="AH60" s="1"/>
      <c r="AI60" s="1"/>
    </row>
    <row r="61">
      <c r="A61" s="1"/>
      <c r="B61" s="3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5"/>
      <c r="Y61" s="35"/>
      <c r="Z61" s="35"/>
      <c r="AA61" s="1"/>
      <c r="AB61" s="1"/>
      <c r="AC61" s="1"/>
      <c r="AD61" s="1"/>
      <c r="AE61" s="1"/>
      <c r="AF61" s="1"/>
      <c r="AG61" s="1"/>
      <c r="AH61" s="1"/>
      <c r="AI61" s="1"/>
    </row>
    <row r="62">
      <c r="A62" s="1"/>
      <c r="B62" s="3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35"/>
      <c r="Y62" s="35"/>
      <c r="Z62" s="35"/>
      <c r="AA62" s="1"/>
      <c r="AB62" s="1"/>
      <c r="AC62" s="1"/>
      <c r="AD62" s="1"/>
      <c r="AE62" s="1"/>
      <c r="AF62" s="1"/>
      <c r="AG62" s="1"/>
      <c r="AH62" s="1"/>
      <c r="AI62" s="1"/>
    </row>
    <row r="63">
      <c r="A63" s="1"/>
      <c r="B63" s="3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5"/>
      <c r="Y63" s="35"/>
      <c r="Z63" s="35"/>
      <c r="AA63" s="1"/>
      <c r="AB63" s="1"/>
      <c r="AC63" s="1"/>
      <c r="AD63" s="1"/>
      <c r="AE63" s="1"/>
      <c r="AF63" s="1"/>
      <c r="AG63" s="1"/>
      <c r="AH63" s="1"/>
      <c r="AI63" s="1"/>
    </row>
    <row r="64">
      <c r="A64" s="1"/>
      <c r="B64" s="3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35"/>
      <c r="Y64" s="35"/>
      <c r="Z64" s="35"/>
      <c r="AA64" s="1"/>
      <c r="AB64" s="1"/>
      <c r="AC64" s="1"/>
      <c r="AD64" s="1"/>
      <c r="AE64" s="1"/>
      <c r="AF64" s="1"/>
      <c r="AG64" s="1"/>
      <c r="AH64" s="1"/>
      <c r="AI64" s="1"/>
    </row>
    <row r="65">
      <c r="A65" s="1"/>
      <c r="B65" s="3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5"/>
      <c r="Y65" s="35"/>
      <c r="Z65" s="35"/>
      <c r="AA65" s="1"/>
      <c r="AB65" s="1"/>
      <c r="AC65" s="1"/>
      <c r="AD65" s="1"/>
      <c r="AE65" s="1"/>
      <c r="AF65" s="1"/>
      <c r="AG65" s="1"/>
      <c r="AH65" s="1"/>
      <c r="AI65" s="1"/>
    </row>
    <row r="66">
      <c r="A66" s="1"/>
      <c r="B66" s="3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5"/>
      <c r="Y66" s="35"/>
      <c r="Z66" s="35"/>
      <c r="AA66" s="1"/>
      <c r="AB66" s="1"/>
      <c r="AC66" s="1"/>
      <c r="AD66" s="1"/>
      <c r="AE66" s="1"/>
      <c r="AF66" s="1"/>
      <c r="AG66" s="1"/>
      <c r="AH66" s="1"/>
      <c r="AI66" s="1"/>
    </row>
    <row r="67">
      <c r="A67" s="1"/>
      <c r="B67" s="3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5"/>
      <c r="Y67" s="35"/>
      <c r="Z67" s="35"/>
      <c r="AA67" s="1"/>
      <c r="AB67" s="1"/>
      <c r="AC67" s="1"/>
      <c r="AD67" s="1"/>
      <c r="AE67" s="1"/>
      <c r="AF67" s="1"/>
      <c r="AG67" s="1"/>
      <c r="AH67" s="1"/>
      <c r="AI67" s="1"/>
    </row>
    <row r="68">
      <c r="A68" s="1"/>
      <c r="B68" s="3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5"/>
      <c r="Y68" s="35"/>
      <c r="Z68" s="35"/>
      <c r="AA68" s="1"/>
      <c r="AB68" s="1"/>
      <c r="AC68" s="1"/>
      <c r="AD68" s="1"/>
      <c r="AE68" s="1"/>
      <c r="AF68" s="1"/>
      <c r="AG68" s="1"/>
      <c r="AH68" s="1"/>
      <c r="AI68" s="1"/>
    </row>
    <row r="69">
      <c r="A69" s="1"/>
      <c r="B69" s="3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5"/>
      <c r="Y69" s="35"/>
      <c r="Z69" s="35"/>
      <c r="AA69" s="1"/>
      <c r="AB69" s="1"/>
      <c r="AC69" s="1"/>
      <c r="AD69" s="1"/>
      <c r="AE69" s="1"/>
      <c r="AF69" s="1"/>
      <c r="AG69" s="1"/>
      <c r="AH69" s="1"/>
      <c r="AI69" s="1"/>
    </row>
    <row r="70">
      <c r="A70" s="1"/>
      <c r="B70" s="3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5"/>
      <c r="Y70" s="35"/>
      <c r="Z70" s="35"/>
      <c r="AA70" s="1"/>
      <c r="AB70" s="1"/>
      <c r="AC70" s="1"/>
      <c r="AD70" s="1"/>
      <c r="AE70" s="1"/>
      <c r="AF70" s="1"/>
      <c r="AG70" s="1"/>
      <c r="AH70" s="1"/>
      <c r="AI70" s="1"/>
    </row>
    <row r="71">
      <c r="A71" s="1"/>
      <c r="B71" s="3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5"/>
      <c r="Y71" s="35"/>
      <c r="Z71" s="35"/>
      <c r="AA71" s="1"/>
      <c r="AB71" s="1"/>
      <c r="AC71" s="1"/>
      <c r="AD71" s="1"/>
      <c r="AE71" s="1"/>
      <c r="AF71" s="1"/>
      <c r="AG71" s="1"/>
      <c r="AH71" s="1"/>
      <c r="AI71" s="1"/>
    </row>
    <row r="72">
      <c r="A72" s="1"/>
      <c r="B72" s="3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5"/>
      <c r="Y72" s="35"/>
      <c r="Z72" s="35"/>
      <c r="AA72" s="1"/>
      <c r="AB72" s="1"/>
      <c r="AC72" s="1"/>
      <c r="AD72" s="1"/>
      <c r="AE72" s="1"/>
      <c r="AF72" s="1"/>
      <c r="AG72" s="1"/>
      <c r="AH72" s="1"/>
      <c r="AI72" s="1"/>
    </row>
    <row r="73">
      <c r="A73" s="1"/>
      <c r="B73" s="3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5"/>
      <c r="Y73" s="35"/>
      <c r="Z73" s="35"/>
      <c r="AA73" s="1"/>
      <c r="AB73" s="1"/>
      <c r="AC73" s="1"/>
      <c r="AD73" s="1"/>
      <c r="AE73" s="1"/>
      <c r="AF73" s="1"/>
      <c r="AG73" s="1"/>
      <c r="AH73" s="1"/>
      <c r="AI73" s="1"/>
    </row>
    <row r="74">
      <c r="A74" s="1"/>
      <c r="B74" s="3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5"/>
      <c r="Y74" s="35"/>
      <c r="Z74" s="35"/>
      <c r="AA74" s="1"/>
      <c r="AB74" s="1"/>
      <c r="AC74" s="1"/>
      <c r="AD74" s="1"/>
      <c r="AE74" s="1"/>
      <c r="AF74" s="1"/>
      <c r="AG74" s="1"/>
      <c r="AH74" s="1"/>
      <c r="AI74" s="1"/>
    </row>
    <row r="75">
      <c r="A75" s="1"/>
      <c r="B75" s="3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5"/>
      <c r="Y75" s="35"/>
      <c r="Z75" s="35"/>
      <c r="AA75" s="1"/>
      <c r="AB75" s="1"/>
      <c r="AC75" s="1"/>
      <c r="AD75" s="1"/>
      <c r="AE75" s="1"/>
      <c r="AF75" s="1"/>
      <c r="AG75" s="1"/>
      <c r="AH75" s="1"/>
      <c r="AI75" s="1"/>
    </row>
    <row r="76">
      <c r="A76" s="1"/>
      <c r="B76" s="3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5"/>
      <c r="Y76" s="35"/>
      <c r="Z76" s="35"/>
      <c r="AA76" s="1"/>
      <c r="AB76" s="1"/>
      <c r="AC76" s="1"/>
      <c r="AD76" s="1"/>
      <c r="AE76" s="1"/>
      <c r="AF76" s="1"/>
      <c r="AG76" s="1"/>
      <c r="AH76" s="1"/>
      <c r="AI76" s="1"/>
    </row>
    <row r="77">
      <c r="A77" s="1"/>
      <c r="B77" s="3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5"/>
      <c r="Y77" s="35"/>
      <c r="Z77" s="35"/>
      <c r="AA77" s="1"/>
      <c r="AB77" s="1"/>
      <c r="AC77" s="1"/>
      <c r="AD77" s="1"/>
      <c r="AE77" s="1"/>
      <c r="AF77" s="1"/>
      <c r="AG77" s="1"/>
      <c r="AH77" s="1"/>
      <c r="AI77" s="1"/>
    </row>
    <row r="78">
      <c r="A78" s="1"/>
      <c r="B78" s="3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5"/>
      <c r="Y78" s="35"/>
      <c r="Z78" s="35"/>
      <c r="AA78" s="1"/>
      <c r="AB78" s="1"/>
      <c r="AC78" s="1"/>
      <c r="AD78" s="1"/>
      <c r="AE78" s="1"/>
      <c r="AF78" s="1"/>
      <c r="AG78" s="1"/>
      <c r="AH78" s="1"/>
      <c r="AI78" s="1"/>
    </row>
    <row r="79">
      <c r="A79" s="1"/>
      <c r="B79" s="3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5"/>
      <c r="Y79" s="35"/>
      <c r="Z79" s="35"/>
      <c r="AA79" s="1"/>
      <c r="AB79" s="1"/>
      <c r="AC79" s="1"/>
      <c r="AD79" s="1"/>
      <c r="AE79" s="1"/>
      <c r="AF79" s="1"/>
      <c r="AG79" s="1"/>
      <c r="AH79" s="1"/>
      <c r="AI79" s="1"/>
    </row>
    <row r="80">
      <c r="A80" s="1"/>
      <c r="B80" s="3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5"/>
      <c r="Y80" s="35"/>
      <c r="Z80" s="35"/>
      <c r="AA80" s="1"/>
      <c r="AB80" s="1"/>
      <c r="AC80" s="1"/>
      <c r="AD80" s="1"/>
      <c r="AE80" s="1"/>
      <c r="AF80" s="1"/>
      <c r="AG80" s="1"/>
      <c r="AH80" s="1"/>
      <c r="AI80" s="1"/>
    </row>
    <row r="81">
      <c r="A81" s="1"/>
      <c r="B81" s="3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5"/>
      <c r="Y81" s="35"/>
      <c r="Z81" s="35"/>
      <c r="AA81" s="1"/>
      <c r="AB81" s="1"/>
      <c r="AC81" s="1"/>
      <c r="AD81" s="1"/>
      <c r="AE81" s="1"/>
      <c r="AF81" s="1"/>
      <c r="AG81" s="1"/>
      <c r="AH81" s="1"/>
      <c r="AI81" s="1"/>
    </row>
    <row r="82">
      <c r="A82" s="1"/>
      <c r="B82" s="3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5"/>
      <c r="Y82" s="35"/>
      <c r="Z82" s="35"/>
      <c r="AA82" s="1"/>
      <c r="AB82" s="1"/>
      <c r="AC82" s="1"/>
      <c r="AD82" s="1"/>
      <c r="AE82" s="1"/>
      <c r="AF82" s="1"/>
      <c r="AG82" s="1"/>
      <c r="AH82" s="1"/>
      <c r="AI82" s="1"/>
    </row>
    <row r="83">
      <c r="A83" s="1"/>
      <c r="B83" s="3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5"/>
      <c r="Y83" s="35"/>
      <c r="Z83" s="35"/>
      <c r="AA83" s="1"/>
      <c r="AB83" s="1"/>
      <c r="AC83" s="1"/>
      <c r="AD83" s="1"/>
      <c r="AE83" s="1"/>
      <c r="AF83" s="1"/>
      <c r="AG83" s="1"/>
      <c r="AH83" s="1"/>
      <c r="AI83" s="1"/>
    </row>
    <row r="84">
      <c r="A84" s="1"/>
      <c r="B84" s="3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5"/>
      <c r="Y84" s="35"/>
      <c r="Z84" s="35"/>
      <c r="AA84" s="1"/>
      <c r="AB84" s="1"/>
      <c r="AC84" s="1"/>
      <c r="AD84" s="1"/>
      <c r="AE84" s="1"/>
      <c r="AF84" s="1"/>
      <c r="AG84" s="1"/>
      <c r="AH84" s="1"/>
      <c r="AI84" s="1"/>
    </row>
    <row r="85">
      <c r="A85" s="1"/>
      <c r="B85" s="3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5"/>
      <c r="Y85" s="35"/>
      <c r="Z85" s="35"/>
      <c r="AA85" s="1"/>
      <c r="AB85" s="1"/>
      <c r="AC85" s="1"/>
      <c r="AD85" s="1"/>
      <c r="AE85" s="1"/>
      <c r="AF85" s="1"/>
      <c r="AG85" s="1"/>
      <c r="AH85" s="1"/>
      <c r="AI85" s="1"/>
    </row>
    <row r="86">
      <c r="A86" s="1"/>
      <c r="B86" s="3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5"/>
      <c r="Y86" s="35"/>
      <c r="Z86" s="35"/>
      <c r="AA86" s="1"/>
      <c r="AB86" s="1"/>
      <c r="AC86" s="1"/>
      <c r="AD86" s="1"/>
      <c r="AE86" s="1"/>
      <c r="AF86" s="1"/>
      <c r="AG86" s="1"/>
      <c r="AH86" s="1"/>
      <c r="AI86" s="1"/>
    </row>
    <row r="87">
      <c r="A87" s="1"/>
      <c r="B87" s="3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5"/>
      <c r="Y87" s="35"/>
      <c r="Z87" s="35"/>
      <c r="AA87" s="1"/>
      <c r="AB87" s="1"/>
      <c r="AC87" s="1"/>
      <c r="AD87" s="1"/>
      <c r="AE87" s="1"/>
      <c r="AF87" s="1"/>
      <c r="AG87" s="1"/>
      <c r="AH87" s="1"/>
      <c r="AI87" s="1"/>
    </row>
    <row r="88">
      <c r="A88" s="1"/>
      <c r="B88" s="3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5"/>
      <c r="Y88" s="35"/>
      <c r="Z88" s="35"/>
      <c r="AA88" s="1"/>
      <c r="AB88" s="1"/>
      <c r="AC88" s="1"/>
      <c r="AD88" s="1"/>
      <c r="AE88" s="1"/>
      <c r="AF88" s="1"/>
      <c r="AG88" s="1"/>
      <c r="AH88" s="1"/>
      <c r="AI88" s="1"/>
    </row>
    <row r="89">
      <c r="A89" s="1"/>
      <c r="B89" s="3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5"/>
      <c r="Y89" s="35"/>
      <c r="Z89" s="35"/>
      <c r="AA89" s="1"/>
      <c r="AB89" s="1"/>
      <c r="AC89" s="1"/>
      <c r="AD89" s="1"/>
      <c r="AE89" s="1"/>
      <c r="AF89" s="1"/>
      <c r="AG89" s="1"/>
      <c r="AH89" s="1"/>
      <c r="AI89" s="1"/>
    </row>
    <row r="90">
      <c r="A90" s="1"/>
      <c r="B90" s="3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5"/>
      <c r="Y90" s="35"/>
      <c r="Z90" s="35"/>
      <c r="AA90" s="1"/>
      <c r="AB90" s="1"/>
      <c r="AC90" s="1"/>
      <c r="AD90" s="1"/>
      <c r="AE90" s="1"/>
      <c r="AF90" s="1"/>
      <c r="AG90" s="1"/>
      <c r="AH90" s="1"/>
      <c r="AI90" s="1"/>
    </row>
    <row r="91">
      <c r="A91" s="1"/>
      <c r="B91" s="3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5"/>
      <c r="Y91" s="35"/>
      <c r="Z91" s="35"/>
      <c r="AA91" s="1"/>
      <c r="AB91" s="1"/>
      <c r="AC91" s="1"/>
      <c r="AD91" s="1"/>
      <c r="AE91" s="1"/>
      <c r="AF91" s="1"/>
      <c r="AG91" s="1"/>
      <c r="AH91" s="1"/>
      <c r="AI91" s="1"/>
    </row>
    <row r="92">
      <c r="A92" s="1"/>
      <c r="B92" s="3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5"/>
      <c r="Y92" s="35"/>
      <c r="Z92" s="35"/>
      <c r="AA92" s="1"/>
      <c r="AB92" s="1"/>
      <c r="AC92" s="1"/>
      <c r="AD92" s="1"/>
      <c r="AE92" s="1"/>
      <c r="AF92" s="1"/>
      <c r="AG92" s="1"/>
      <c r="AH92" s="1"/>
      <c r="AI92" s="1"/>
    </row>
    <row r="93">
      <c r="A93" s="1"/>
      <c r="B93" s="3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5"/>
      <c r="Y93" s="35"/>
      <c r="Z93" s="35"/>
      <c r="AA93" s="1"/>
      <c r="AB93" s="1"/>
      <c r="AC93" s="1"/>
      <c r="AD93" s="1"/>
      <c r="AE93" s="1"/>
      <c r="AF93" s="1"/>
      <c r="AG93" s="1"/>
      <c r="AH93" s="1"/>
      <c r="AI93" s="1"/>
    </row>
    <row r="94">
      <c r="A94" s="1"/>
      <c r="B94" s="3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5"/>
      <c r="Y94" s="35"/>
      <c r="Z94" s="35"/>
      <c r="AA94" s="1"/>
      <c r="AB94" s="1"/>
      <c r="AC94" s="1"/>
      <c r="AD94" s="1"/>
      <c r="AE94" s="1"/>
      <c r="AF94" s="1"/>
      <c r="AG94" s="1"/>
      <c r="AH94" s="1"/>
      <c r="AI94" s="1"/>
    </row>
    <row r="95">
      <c r="A95" s="1"/>
      <c r="B95" s="3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5"/>
      <c r="Y95" s="35"/>
      <c r="Z95" s="35"/>
      <c r="AA95" s="1"/>
      <c r="AB95" s="1"/>
      <c r="AC95" s="1"/>
      <c r="AD95" s="1"/>
      <c r="AE95" s="1"/>
      <c r="AF95" s="1"/>
      <c r="AG95" s="1"/>
      <c r="AH95" s="1"/>
      <c r="AI95" s="1"/>
    </row>
    <row r="96">
      <c r="A96" s="1"/>
      <c r="B96" s="3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5"/>
      <c r="Y96" s="35"/>
      <c r="Z96" s="35"/>
      <c r="AA96" s="1"/>
      <c r="AB96" s="1"/>
      <c r="AC96" s="1"/>
      <c r="AD96" s="1"/>
      <c r="AE96" s="1"/>
      <c r="AF96" s="1"/>
      <c r="AG96" s="1"/>
      <c r="AH96" s="1"/>
      <c r="AI96" s="1"/>
    </row>
    <row r="97">
      <c r="A97" s="1"/>
      <c r="B97" s="3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5"/>
      <c r="Y97" s="35"/>
      <c r="Z97" s="35"/>
      <c r="AA97" s="1"/>
      <c r="AB97" s="1"/>
      <c r="AC97" s="1"/>
      <c r="AD97" s="1"/>
      <c r="AE97" s="1"/>
      <c r="AF97" s="1"/>
      <c r="AG97" s="1"/>
      <c r="AH97" s="1"/>
      <c r="AI97" s="1"/>
    </row>
    <row r="98">
      <c r="A98" s="1"/>
      <c r="B98" s="3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5"/>
      <c r="Y98" s="35"/>
      <c r="Z98" s="35"/>
      <c r="AA98" s="1"/>
      <c r="AB98" s="1"/>
      <c r="AC98" s="1"/>
      <c r="AD98" s="1"/>
      <c r="AE98" s="1"/>
      <c r="AF98" s="1"/>
      <c r="AG98" s="1"/>
      <c r="AH98" s="1"/>
      <c r="AI98" s="1"/>
    </row>
    <row r="99">
      <c r="A99" s="1"/>
      <c r="B99" s="3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5"/>
      <c r="Y99" s="35"/>
      <c r="Z99" s="35"/>
      <c r="AA99" s="1"/>
      <c r="AB99" s="1"/>
      <c r="AC99" s="1"/>
      <c r="AD99" s="1"/>
      <c r="AE99" s="1"/>
      <c r="AF99" s="1"/>
      <c r="AG99" s="1"/>
      <c r="AH99" s="1"/>
      <c r="AI99" s="1"/>
    </row>
    <row r="100">
      <c r="A100" s="1"/>
      <c r="B100" s="3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5"/>
      <c r="Y100" s="35"/>
      <c r="Z100" s="35"/>
      <c r="AA100" s="1"/>
      <c r="AB100" s="1"/>
      <c r="AC100" s="1"/>
      <c r="AD100" s="1"/>
      <c r="AE100" s="1"/>
      <c r="AF100" s="1"/>
      <c r="AG100" s="1"/>
      <c r="AH100" s="1"/>
      <c r="AI100" s="1"/>
    </row>
    <row r="101">
      <c r="A101" s="1"/>
      <c r="B101" s="3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5"/>
      <c r="Y101" s="35"/>
      <c r="Z101" s="35"/>
      <c r="AA101" s="1"/>
      <c r="AB101" s="1"/>
      <c r="AC101" s="1"/>
      <c r="AD101" s="1"/>
      <c r="AE101" s="1"/>
      <c r="AF101" s="1"/>
      <c r="AG101" s="1"/>
      <c r="AH101" s="1"/>
      <c r="AI101" s="1"/>
    </row>
    <row r="102">
      <c r="A102" s="1"/>
      <c r="B102" s="3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5"/>
      <c r="Y102" s="35"/>
      <c r="Z102" s="35"/>
      <c r="AA102" s="1"/>
      <c r="AB102" s="1"/>
      <c r="AC102" s="1"/>
      <c r="AD102" s="1"/>
      <c r="AE102" s="1"/>
      <c r="AF102" s="1"/>
      <c r="AG102" s="1"/>
      <c r="AH102" s="1"/>
      <c r="AI102" s="1"/>
    </row>
    <row r="103">
      <c r="A103" s="1"/>
      <c r="B103" s="3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5"/>
      <c r="Y103" s="35"/>
      <c r="Z103" s="35"/>
      <c r="AA103" s="1"/>
      <c r="AB103" s="1"/>
      <c r="AC103" s="1"/>
      <c r="AD103" s="1"/>
      <c r="AE103" s="1"/>
      <c r="AF103" s="1"/>
      <c r="AG103" s="1"/>
      <c r="AH103" s="1"/>
      <c r="AI103" s="1"/>
    </row>
    <row r="104">
      <c r="A104" s="1"/>
      <c r="B104" s="3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5"/>
      <c r="Y104" s="35"/>
      <c r="Z104" s="35"/>
      <c r="AA104" s="1"/>
      <c r="AB104" s="1"/>
      <c r="AC104" s="1"/>
      <c r="AD104" s="1"/>
      <c r="AE104" s="1"/>
      <c r="AF104" s="1"/>
      <c r="AG104" s="1"/>
      <c r="AH104" s="1"/>
      <c r="AI104" s="1"/>
    </row>
    <row r="105">
      <c r="A105" s="1"/>
      <c r="B105" s="3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5"/>
      <c r="Y105" s="35"/>
      <c r="Z105" s="35"/>
      <c r="AA105" s="1"/>
      <c r="AB105" s="1"/>
      <c r="AC105" s="1"/>
      <c r="AD105" s="1"/>
      <c r="AE105" s="1"/>
      <c r="AF105" s="1"/>
      <c r="AG105" s="1"/>
      <c r="AH105" s="1"/>
      <c r="AI105" s="1"/>
    </row>
    <row r="106">
      <c r="A106" s="1"/>
      <c r="B106" s="3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5"/>
      <c r="Y106" s="35"/>
      <c r="Z106" s="35"/>
      <c r="AA106" s="1"/>
      <c r="AB106" s="1"/>
      <c r="AC106" s="1"/>
      <c r="AD106" s="1"/>
      <c r="AE106" s="1"/>
      <c r="AF106" s="1"/>
      <c r="AG106" s="1"/>
      <c r="AH106" s="1"/>
      <c r="AI106" s="1"/>
    </row>
    <row r="107">
      <c r="A107" s="1"/>
      <c r="B107" s="3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5"/>
      <c r="Y107" s="35"/>
      <c r="Z107" s="35"/>
      <c r="AA107" s="1"/>
      <c r="AB107" s="1"/>
      <c r="AC107" s="1"/>
      <c r="AD107" s="1"/>
      <c r="AE107" s="1"/>
      <c r="AF107" s="1"/>
      <c r="AG107" s="1"/>
      <c r="AH107" s="1"/>
      <c r="AI107" s="1"/>
    </row>
    <row r="108">
      <c r="A108" s="1"/>
      <c r="B108" s="3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5"/>
      <c r="Y108" s="35"/>
      <c r="Z108" s="35"/>
      <c r="AA108" s="1"/>
      <c r="AB108" s="1"/>
      <c r="AC108" s="1"/>
      <c r="AD108" s="1"/>
      <c r="AE108" s="1"/>
      <c r="AF108" s="1"/>
      <c r="AG108" s="1"/>
      <c r="AH108" s="1"/>
      <c r="AI108" s="1"/>
    </row>
    <row r="109">
      <c r="A109" s="1"/>
      <c r="B109" s="3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5"/>
      <c r="Y109" s="35"/>
      <c r="Z109" s="35"/>
      <c r="AA109" s="1"/>
      <c r="AB109" s="1"/>
      <c r="AC109" s="1"/>
      <c r="AD109" s="1"/>
      <c r="AE109" s="1"/>
      <c r="AF109" s="1"/>
      <c r="AG109" s="1"/>
      <c r="AH109" s="1"/>
      <c r="AI109" s="1"/>
    </row>
    <row r="110">
      <c r="A110" s="1"/>
      <c r="B110" s="3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5"/>
      <c r="Y110" s="35"/>
      <c r="Z110" s="35"/>
      <c r="AA110" s="1"/>
      <c r="AB110" s="1"/>
      <c r="AC110" s="1"/>
      <c r="AD110" s="1"/>
      <c r="AE110" s="1"/>
      <c r="AF110" s="1"/>
      <c r="AG110" s="1"/>
      <c r="AH110" s="1"/>
      <c r="AI110" s="1"/>
    </row>
    <row r="111">
      <c r="A111" s="1"/>
      <c r="B111" s="3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5"/>
      <c r="Y111" s="35"/>
      <c r="Z111" s="35"/>
      <c r="AA111" s="1"/>
      <c r="AB111" s="1"/>
      <c r="AC111" s="1"/>
      <c r="AD111" s="1"/>
      <c r="AE111" s="1"/>
      <c r="AF111" s="1"/>
      <c r="AG111" s="1"/>
      <c r="AH111" s="1"/>
      <c r="AI111" s="1"/>
    </row>
    <row r="112">
      <c r="A112" s="1"/>
      <c r="B112" s="3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5"/>
      <c r="Y112" s="35"/>
      <c r="Z112" s="35"/>
      <c r="AA112" s="1"/>
      <c r="AB112" s="1"/>
      <c r="AC112" s="1"/>
      <c r="AD112" s="1"/>
      <c r="AE112" s="1"/>
      <c r="AF112" s="1"/>
      <c r="AG112" s="1"/>
      <c r="AH112" s="1"/>
      <c r="AI112" s="1"/>
    </row>
    <row r="113">
      <c r="A113" s="1"/>
      <c r="B113" s="3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5"/>
      <c r="Y113" s="35"/>
      <c r="Z113" s="35"/>
      <c r="AA113" s="1"/>
      <c r="AB113" s="1"/>
      <c r="AC113" s="1"/>
      <c r="AD113" s="1"/>
      <c r="AE113" s="1"/>
      <c r="AF113" s="1"/>
      <c r="AG113" s="1"/>
      <c r="AH113" s="1"/>
      <c r="AI113" s="1"/>
    </row>
    <row r="114">
      <c r="A114" s="1"/>
      <c r="B114" s="3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5"/>
      <c r="Y114" s="35"/>
      <c r="Z114" s="35"/>
      <c r="AA114" s="1"/>
      <c r="AB114" s="1"/>
      <c r="AC114" s="1"/>
      <c r="AD114" s="1"/>
      <c r="AE114" s="1"/>
      <c r="AF114" s="1"/>
      <c r="AG114" s="1"/>
      <c r="AH114" s="1"/>
      <c r="AI114" s="1"/>
    </row>
    <row r="115">
      <c r="A115" s="1"/>
      <c r="B115" s="3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5"/>
      <c r="Y115" s="35"/>
      <c r="Z115" s="35"/>
      <c r="AA115" s="1"/>
      <c r="AB115" s="1"/>
      <c r="AC115" s="1"/>
      <c r="AD115" s="1"/>
      <c r="AE115" s="1"/>
      <c r="AF115" s="1"/>
      <c r="AG115" s="1"/>
      <c r="AH115" s="1"/>
      <c r="AI115" s="1"/>
    </row>
    <row r="116">
      <c r="A116" s="1"/>
      <c r="B116" s="3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5"/>
      <c r="Y116" s="35"/>
      <c r="Z116" s="35"/>
      <c r="AA116" s="1"/>
      <c r="AB116" s="1"/>
      <c r="AC116" s="1"/>
      <c r="AD116" s="1"/>
      <c r="AE116" s="1"/>
      <c r="AF116" s="1"/>
      <c r="AG116" s="1"/>
      <c r="AH116" s="1"/>
      <c r="AI116" s="1"/>
    </row>
    <row r="117">
      <c r="A117" s="1"/>
      <c r="B117" s="3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5"/>
      <c r="Y117" s="35"/>
      <c r="Z117" s="35"/>
      <c r="AA117" s="1"/>
      <c r="AB117" s="1"/>
      <c r="AC117" s="1"/>
      <c r="AD117" s="1"/>
      <c r="AE117" s="1"/>
      <c r="AF117" s="1"/>
      <c r="AG117" s="1"/>
      <c r="AH117" s="1"/>
      <c r="AI117" s="1"/>
    </row>
    <row r="118">
      <c r="A118" s="1"/>
      <c r="B118" s="3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5"/>
      <c r="Y118" s="35"/>
      <c r="Z118" s="35"/>
      <c r="AA118" s="1"/>
      <c r="AB118" s="1"/>
      <c r="AC118" s="1"/>
      <c r="AD118" s="1"/>
      <c r="AE118" s="1"/>
      <c r="AF118" s="1"/>
      <c r="AG118" s="1"/>
      <c r="AH118" s="1"/>
      <c r="AI118" s="1"/>
    </row>
    <row r="119">
      <c r="A119" s="1"/>
      <c r="B119" s="3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5"/>
      <c r="Y119" s="35"/>
      <c r="Z119" s="35"/>
      <c r="AA119" s="1"/>
      <c r="AB119" s="1"/>
      <c r="AC119" s="1"/>
      <c r="AD119" s="1"/>
      <c r="AE119" s="1"/>
      <c r="AF119" s="1"/>
      <c r="AG119" s="1"/>
      <c r="AH119" s="1"/>
      <c r="AI119" s="1"/>
    </row>
    <row r="120">
      <c r="A120" s="1"/>
      <c r="B120" s="3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5"/>
      <c r="Y120" s="35"/>
      <c r="Z120" s="35"/>
      <c r="AA120" s="1"/>
      <c r="AB120" s="1"/>
      <c r="AC120" s="1"/>
      <c r="AD120" s="1"/>
      <c r="AE120" s="1"/>
      <c r="AF120" s="1"/>
      <c r="AG120" s="1"/>
      <c r="AH120" s="1"/>
      <c r="AI120" s="1"/>
    </row>
    <row r="121">
      <c r="A121" s="1"/>
      <c r="B121" s="3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5"/>
      <c r="Y121" s="35"/>
      <c r="Z121" s="35"/>
      <c r="AA121" s="1"/>
      <c r="AB121" s="1"/>
      <c r="AC121" s="1"/>
      <c r="AD121" s="1"/>
      <c r="AE121" s="1"/>
      <c r="AF121" s="1"/>
      <c r="AG121" s="1"/>
      <c r="AH121" s="1"/>
      <c r="AI121" s="1"/>
    </row>
    <row r="122">
      <c r="A122" s="1"/>
      <c r="B122" s="3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5"/>
      <c r="Y122" s="35"/>
      <c r="Z122" s="35"/>
      <c r="AA122" s="1"/>
      <c r="AB122" s="1"/>
      <c r="AC122" s="1"/>
      <c r="AD122" s="1"/>
      <c r="AE122" s="1"/>
      <c r="AF122" s="1"/>
      <c r="AG122" s="1"/>
      <c r="AH122" s="1"/>
      <c r="AI122" s="1"/>
    </row>
    <row r="123">
      <c r="A123" s="1"/>
      <c r="B123" s="3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5"/>
      <c r="Y123" s="35"/>
      <c r="Z123" s="35"/>
      <c r="AA123" s="1"/>
      <c r="AB123" s="1"/>
      <c r="AC123" s="1"/>
      <c r="AD123" s="1"/>
      <c r="AE123" s="1"/>
      <c r="AF123" s="1"/>
      <c r="AG123" s="1"/>
      <c r="AH123" s="1"/>
      <c r="AI123" s="1"/>
    </row>
    <row r="124">
      <c r="A124" s="1"/>
      <c r="B124" s="3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5"/>
      <c r="Y124" s="35"/>
      <c r="Z124" s="35"/>
      <c r="AA124" s="1"/>
      <c r="AB124" s="1"/>
      <c r="AC124" s="1"/>
      <c r="AD124" s="1"/>
      <c r="AE124" s="1"/>
      <c r="AF124" s="1"/>
      <c r="AG124" s="1"/>
      <c r="AH124" s="1"/>
      <c r="AI124" s="1"/>
    </row>
    <row r="125">
      <c r="A125" s="1"/>
      <c r="B125" s="3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5"/>
      <c r="Y125" s="35"/>
      <c r="Z125" s="35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A126" s="1"/>
      <c r="B126" s="3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5"/>
      <c r="Y126" s="35"/>
      <c r="Z126" s="35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A127" s="1"/>
      <c r="B127" s="3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5"/>
      <c r="Y127" s="35"/>
      <c r="Z127" s="35"/>
      <c r="AA127" s="1"/>
      <c r="AB127" s="1"/>
      <c r="AC127" s="1"/>
      <c r="AD127" s="1"/>
      <c r="AE127" s="1"/>
      <c r="AF127" s="1"/>
      <c r="AG127" s="1"/>
      <c r="AH127" s="1"/>
      <c r="AI127" s="1"/>
    </row>
    <row r="128">
      <c r="A128" s="1"/>
      <c r="B128" s="3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5"/>
      <c r="Y128" s="35"/>
      <c r="Z128" s="35"/>
      <c r="AA128" s="1"/>
      <c r="AB128" s="1"/>
      <c r="AC128" s="1"/>
      <c r="AD128" s="1"/>
      <c r="AE128" s="1"/>
      <c r="AF128" s="1"/>
      <c r="AG128" s="1"/>
      <c r="AH128" s="1"/>
      <c r="AI128" s="1"/>
    </row>
    <row r="129">
      <c r="A129" s="1"/>
      <c r="B129" s="3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5"/>
      <c r="Y129" s="35"/>
      <c r="Z129" s="35"/>
      <c r="AA129" s="1"/>
      <c r="AB129" s="1"/>
      <c r="AC129" s="1"/>
      <c r="AD129" s="1"/>
      <c r="AE129" s="1"/>
      <c r="AF129" s="1"/>
      <c r="AG129" s="1"/>
      <c r="AH129" s="1"/>
      <c r="AI129" s="1"/>
    </row>
    <row r="130">
      <c r="A130" s="1"/>
      <c r="B130" s="3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5"/>
      <c r="Y130" s="35"/>
      <c r="Z130" s="35"/>
      <c r="AA130" s="1"/>
      <c r="AB130" s="1"/>
      <c r="AC130" s="1"/>
      <c r="AD130" s="1"/>
      <c r="AE130" s="1"/>
      <c r="AF130" s="1"/>
      <c r="AG130" s="1"/>
      <c r="AH130" s="1"/>
      <c r="AI130" s="1"/>
    </row>
    <row r="131">
      <c r="A131" s="1"/>
      <c r="B131" s="3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5"/>
      <c r="Y131" s="35"/>
      <c r="Z131" s="35"/>
      <c r="AA131" s="1"/>
      <c r="AB131" s="1"/>
      <c r="AC131" s="1"/>
      <c r="AD131" s="1"/>
      <c r="AE131" s="1"/>
      <c r="AF131" s="1"/>
      <c r="AG131" s="1"/>
      <c r="AH131" s="1"/>
      <c r="AI131" s="1"/>
    </row>
    <row r="132">
      <c r="A132" s="1"/>
      <c r="B132" s="3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5"/>
      <c r="Y132" s="35"/>
      <c r="Z132" s="35"/>
      <c r="AA132" s="1"/>
      <c r="AB132" s="1"/>
      <c r="AC132" s="1"/>
      <c r="AD132" s="1"/>
      <c r="AE132" s="1"/>
      <c r="AF132" s="1"/>
      <c r="AG132" s="1"/>
      <c r="AH132" s="1"/>
      <c r="AI132" s="1"/>
    </row>
    <row r="133">
      <c r="A133" s="1"/>
      <c r="B133" s="3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5"/>
      <c r="Y133" s="35"/>
      <c r="Z133" s="35"/>
      <c r="AA133" s="1"/>
      <c r="AB133" s="1"/>
      <c r="AC133" s="1"/>
      <c r="AD133" s="1"/>
      <c r="AE133" s="1"/>
      <c r="AF133" s="1"/>
      <c r="AG133" s="1"/>
      <c r="AH133" s="1"/>
      <c r="AI133" s="1"/>
    </row>
    <row r="134">
      <c r="A134" s="1"/>
      <c r="B134" s="3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5"/>
      <c r="Y134" s="35"/>
      <c r="Z134" s="35"/>
      <c r="AA134" s="1"/>
      <c r="AB134" s="1"/>
      <c r="AC134" s="1"/>
      <c r="AD134" s="1"/>
      <c r="AE134" s="1"/>
      <c r="AF134" s="1"/>
      <c r="AG134" s="1"/>
      <c r="AH134" s="1"/>
      <c r="AI134" s="1"/>
    </row>
    <row r="135">
      <c r="A135" s="1"/>
      <c r="B135" s="3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5"/>
      <c r="Y135" s="35"/>
      <c r="Z135" s="35"/>
      <c r="AA135" s="1"/>
      <c r="AB135" s="1"/>
      <c r="AC135" s="1"/>
      <c r="AD135" s="1"/>
      <c r="AE135" s="1"/>
      <c r="AF135" s="1"/>
      <c r="AG135" s="1"/>
      <c r="AH135" s="1"/>
      <c r="AI135" s="1"/>
    </row>
    <row r="136">
      <c r="A136" s="1"/>
      <c r="B136" s="3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5"/>
      <c r="Y136" s="35"/>
      <c r="Z136" s="35"/>
      <c r="AA136" s="1"/>
      <c r="AB136" s="1"/>
      <c r="AC136" s="1"/>
      <c r="AD136" s="1"/>
      <c r="AE136" s="1"/>
      <c r="AF136" s="1"/>
      <c r="AG136" s="1"/>
      <c r="AH136" s="1"/>
      <c r="AI136" s="1"/>
    </row>
    <row r="137">
      <c r="A137" s="1"/>
      <c r="B137" s="3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5"/>
      <c r="Y137" s="35"/>
      <c r="Z137" s="35"/>
      <c r="AA137" s="1"/>
      <c r="AB137" s="1"/>
      <c r="AC137" s="1"/>
      <c r="AD137" s="1"/>
      <c r="AE137" s="1"/>
      <c r="AF137" s="1"/>
      <c r="AG137" s="1"/>
      <c r="AH137" s="1"/>
      <c r="AI137" s="1"/>
    </row>
    <row r="138">
      <c r="A138" s="1"/>
      <c r="B138" s="3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5"/>
      <c r="Y138" s="35"/>
      <c r="Z138" s="35"/>
      <c r="AA138" s="1"/>
      <c r="AB138" s="1"/>
      <c r="AC138" s="1"/>
      <c r="AD138" s="1"/>
      <c r="AE138" s="1"/>
      <c r="AF138" s="1"/>
      <c r="AG138" s="1"/>
      <c r="AH138" s="1"/>
      <c r="AI138" s="1"/>
    </row>
    <row r="139">
      <c r="A139" s="1"/>
      <c r="B139" s="3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5"/>
      <c r="Y139" s="35"/>
      <c r="Z139" s="35"/>
      <c r="AA139" s="1"/>
      <c r="AB139" s="1"/>
      <c r="AC139" s="1"/>
      <c r="AD139" s="1"/>
      <c r="AE139" s="1"/>
      <c r="AF139" s="1"/>
      <c r="AG139" s="1"/>
      <c r="AH139" s="1"/>
      <c r="AI139" s="1"/>
    </row>
    <row r="140">
      <c r="A140" s="1"/>
      <c r="B140" s="3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5"/>
      <c r="Y140" s="35"/>
      <c r="Z140" s="35"/>
      <c r="AA140" s="1"/>
      <c r="AB140" s="1"/>
      <c r="AC140" s="1"/>
      <c r="AD140" s="1"/>
      <c r="AE140" s="1"/>
      <c r="AF140" s="1"/>
      <c r="AG140" s="1"/>
      <c r="AH140" s="1"/>
      <c r="AI140" s="1"/>
    </row>
    <row r="141">
      <c r="A141" s="1"/>
      <c r="B141" s="3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5"/>
      <c r="Y141" s="35"/>
      <c r="Z141" s="35"/>
      <c r="AA141" s="1"/>
      <c r="AB141" s="1"/>
      <c r="AC141" s="1"/>
      <c r="AD141" s="1"/>
      <c r="AE141" s="1"/>
      <c r="AF141" s="1"/>
      <c r="AG141" s="1"/>
      <c r="AH141" s="1"/>
      <c r="AI141" s="1"/>
    </row>
    <row r="142">
      <c r="A142" s="1"/>
      <c r="B142" s="3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5"/>
      <c r="Y142" s="35"/>
      <c r="Z142" s="35"/>
      <c r="AA142" s="1"/>
      <c r="AB142" s="1"/>
      <c r="AC142" s="1"/>
      <c r="AD142" s="1"/>
      <c r="AE142" s="1"/>
      <c r="AF142" s="1"/>
      <c r="AG142" s="1"/>
      <c r="AH142" s="1"/>
      <c r="AI142" s="1"/>
    </row>
    <row r="143">
      <c r="A143" s="1"/>
      <c r="B143" s="3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5"/>
      <c r="Y143" s="35"/>
      <c r="Z143" s="35"/>
      <c r="AA143" s="1"/>
      <c r="AB143" s="1"/>
      <c r="AC143" s="1"/>
      <c r="AD143" s="1"/>
      <c r="AE143" s="1"/>
      <c r="AF143" s="1"/>
      <c r="AG143" s="1"/>
      <c r="AH143" s="1"/>
      <c r="AI143" s="1"/>
    </row>
    <row r="144">
      <c r="A144" s="1"/>
      <c r="B144" s="3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5"/>
      <c r="Y144" s="35"/>
      <c r="Z144" s="35"/>
      <c r="AA144" s="1"/>
      <c r="AB144" s="1"/>
      <c r="AC144" s="1"/>
      <c r="AD144" s="1"/>
      <c r="AE144" s="1"/>
      <c r="AF144" s="1"/>
      <c r="AG144" s="1"/>
      <c r="AH144" s="1"/>
      <c r="AI144" s="1"/>
    </row>
    <row r="145">
      <c r="A145" s="1"/>
      <c r="B145" s="3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5"/>
      <c r="Y145" s="35"/>
      <c r="Z145" s="35"/>
      <c r="AA145" s="1"/>
      <c r="AB145" s="1"/>
      <c r="AC145" s="1"/>
      <c r="AD145" s="1"/>
      <c r="AE145" s="1"/>
      <c r="AF145" s="1"/>
      <c r="AG145" s="1"/>
      <c r="AH145" s="1"/>
      <c r="AI145" s="1"/>
    </row>
    <row r="146">
      <c r="A146" s="1"/>
      <c r="B146" s="3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5"/>
      <c r="Y146" s="35"/>
      <c r="Z146" s="35"/>
      <c r="AA146" s="1"/>
      <c r="AB146" s="1"/>
      <c r="AC146" s="1"/>
      <c r="AD146" s="1"/>
      <c r="AE146" s="1"/>
      <c r="AF146" s="1"/>
      <c r="AG146" s="1"/>
      <c r="AH146" s="1"/>
      <c r="AI146" s="1"/>
    </row>
    <row r="147">
      <c r="A147" s="1"/>
      <c r="B147" s="3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5"/>
      <c r="Y147" s="35"/>
      <c r="Z147" s="35"/>
      <c r="AA147" s="1"/>
      <c r="AB147" s="1"/>
      <c r="AC147" s="1"/>
      <c r="AD147" s="1"/>
      <c r="AE147" s="1"/>
      <c r="AF147" s="1"/>
      <c r="AG147" s="1"/>
      <c r="AH147" s="1"/>
      <c r="AI147" s="1"/>
    </row>
    <row r="148">
      <c r="A148" s="1"/>
      <c r="B148" s="3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5"/>
      <c r="Y148" s="35"/>
      <c r="Z148" s="35"/>
      <c r="AA148" s="1"/>
      <c r="AB148" s="1"/>
      <c r="AC148" s="1"/>
      <c r="AD148" s="1"/>
      <c r="AE148" s="1"/>
      <c r="AF148" s="1"/>
      <c r="AG148" s="1"/>
      <c r="AH148" s="1"/>
      <c r="AI148" s="1"/>
    </row>
    <row r="149">
      <c r="A149" s="1"/>
      <c r="B149" s="3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5"/>
      <c r="Y149" s="35"/>
      <c r="Z149" s="35"/>
      <c r="AA149" s="1"/>
      <c r="AB149" s="1"/>
      <c r="AC149" s="1"/>
      <c r="AD149" s="1"/>
      <c r="AE149" s="1"/>
      <c r="AF149" s="1"/>
      <c r="AG149" s="1"/>
      <c r="AH149" s="1"/>
      <c r="AI149" s="1"/>
    </row>
    <row r="150">
      <c r="A150" s="1"/>
      <c r="B150" s="3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5"/>
      <c r="Y150" s="35"/>
      <c r="Z150" s="35"/>
      <c r="AA150" s="1"/>
      <c r="AB150" s="1"/>
      <c r="AC150" s="1"/>
      <c r="AD150" s="1"/>
      <c r="AE150" s="1"/>
      <c r="AF150" s="1"/>
      <c r="AG150" s="1"/>
      <c r="AH150" s="1"/>
      <c r="AI150" s="1"/>
    </row>
    <row r="151">
      <c r="A151" s="1"/>
      <c r="B151" s="3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5"/>
      <c r="Y151" s="35"/>
      <c r="Z151" s="35"/>
      <c r="AA151" s="1"/>
      <c r="AB151" s="1"/>
      <c r="AC151" s="1"/>
      <c r="AD151" s="1"/>
      <c r="AE151" s="1"/>
      <c r="AF151" s="1"/>
      <c r="AG151" s="1"/>
      <c r="AH151" s="1"/>
      <c r="AI151" s="1"/>
    </row>
    <row r="152">
      <c r="A152" s="1"/>
      <c r="B152" s="3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5"/>
      <c r="Y152" s="35"/>
      <c r="Z152" s="35"/>
      <c r="AA152" s="1"/>
      <c r="AB152" s="1"/>
      <c r="AC152" s="1"/>
      <c r="AD152" s="1"/>
      <c r="AE152" s="1"/>
      <c r="AF152" s="1"/>
      <c r="AG152" s="1"/>
      <c r="AH152" s="1"/>
      <c r="AI152" s="1"/>
    </row>
    <row r="153">
      <c r="A153" s="1"/>
      <c r="B153" s="3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5"/>
      <c r="Y153" s="35"/>
      <c r="Z153" s="35"/>
      <c r="AA153" s="1"/>
      <c r="AB153" s="1"/>
      <c r="AC153" s="1"/>
      <c r="AD153" s="1"/>
      <c r="AE153" s="1"/>
      <c r="AF153" s="1"/>
      <c r="AG153" s="1"/>
      <c r="AH153" s="1"/>
      <c r="AI153" s="1"/>
    </row>
    <row r="154">
      <c r="A154" s="1"/>
      <c r="B154" s="3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5"/>
      <c r="Y154" s="35"/>
      <c r="Z154" s="35"/>
      <c r="AA154" s="1"/>
      <c r="AB154" s="1"/>
      <c r="AC154" s="1"/>
      <c r="AD154" s="1"/>
      <c r="AE154" s="1"/>
      <c r="AF154" s="1"/>
      <c r="AG154" s="1"/>
      <c r="AH154" s="1"/>
      <c r="AI154" s="1"/>
    </row>
    <row r="155">
      <c r="A155" s="1"/>
      <c r="B155" s="3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5"/>
      <c r="Y155" s="35"/>
      <c r="Z155" s="35"/>
      <c r="AA155" s="1"/>
      <c r="AB155" s="1"/>
      <c r="AC155" s="1"/>
      <c r="AD155" s="1"/>
      <c r="AE155" s="1"/>
      <c r="AF155" s="1"/>
      <c r="AG155" s="1"/>
      <c r="AH155" s="1"/>
      <c r="AI155" s="1"/>
    </row>
    <row r="156">
      <c r="A156" s="1"/>
      <c r="B156" s="3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5"/>
      <c r="Y156" s="35"/>
      <c r="Z156" s="35"/>
      <c r="AA156" s="1"/>
      <c r="AB156" s="1"/>
      <c r="AC156" s="1"/>
      <c r="AD156" s="1"/>
      <c r="AE156" s="1"/>
      <c r="AF156" s="1"/>
      <c r="AG156" s="1"/>
      <c r="AH156" s="1"/>
      <c r="AI156" s="1"/>
    </row>
    <row r="157">
      <c r="A157" s="1"/>
      <c r="B157" s="3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5"/>
      <c r="Y157" s="35"/>
      <c r="Z157" s="35"/>
      <c r="AA157" s="1"/>
      <c r="AB157" s="1"/>
      <c r="AC157" s="1"/>
      <c r="AD157" s="1"/>
      <c r="AE157" s="1"/>
      <c r="AF157" s="1"/>
      <c r="AG157" s="1"/>
      <c r="AH157" s="1"/>
      <c r="AI157" s="1"/>
    </row>
    <row r="158">
      <c r="A158" s="1"/>
      <c r="B158" s="3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5"/>
      <c r="Y158" s="35"/>
      <c r="Z158" s="35"/>
      <c r="AA158" s="1"/>
      <c r="AB158" s="1"/>
      <c r="AC158" s="1"/>
      <c r="AD158" s="1"/>
      <c r="AE158" s="1"/>
      <c r="AF158" s="1"/>
      <c r="AG158" s="1"/>
      <c r="AH158" s="1"/>
      <c r="AI158" s="1"/>
    </row>
    <row r="159">
      <c r="A159" s="1"/>
      <c r="B159" s="3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5"/>
      <c r="Y159" s="35"/>
      <c r="Z159" s="35"/>
      <c r="AA159" s="1"/>
      <c r="AB159" s="1"/>
      <c r="AC159" s="1"/>
      <c r="AD159" s="1"/>
      <c r="AE159" s="1"/>
      <c r="AF159" s="1"/>
      <c r="AG159" s="1"/>
      <c r="AH159" s="1"/>
      <c r="AI159" s="1"/>
    </row>
    <row r="160">
      <c r="A160" s="1"/>
      <c r="B160" s="3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5"/>
      <c r="Y160" s="35"/>
      <c r="Z160" s="35"/>
      <c r="AA160" s="1"/>
      <c r="AB160" s="1"/>
      <c r="AC160" s="1"/>
      <c r="AD160" s="1"/>
      <c r="AE160" s="1"/>
      <c r="AF160" s="1"/>
      <c r="AG160" s="1"/>
      <c r="AH160" s="1"/>
      <c r="AI160" s="1"/>
    </row>
    <row r="161">
      <c r="A161" s="1"/>
      <c r="B161" s="3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5"/>
      <c r="Y161" s="35"/>
      <c r="Z161" s="35"/>
      <c r="AA161" s="1"/>
      <c r="AB161" s="1"/>
      <c r="AC161" s="1"/>
      <c r="AD161" s="1"/>
      <c r="AE161" s="1"/>
      <c r="AF161" s="1"/>
      <c r="AG161" s="1"/>
      <c r="AH161" s="1"/>
      <c r="AI161" s="1"/>
    </row>
    <row r="162">
      <c r="A162" s="1"/>
      <c r="B162" s="3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5"/>
      <c r="Y162" s="35"/>
      <c r="Z162" s="35"/>
      <c r="AA162" s="1"/>
      <c r="AB162" s="1"/>
      <c r="AC162" s="1"/>
      <c r="AD162" s="1"/>
      <c r="AE162" s="1"/>
      <c r="AF162" s="1"/>
      <c r="AG162" s="1"/>
      <c r="AH162" s="1"/>
      <c r="AI162" s="1"/>
    </row>
    <row r="163">
      <c r="A163" s="1"/>
      <c r="B163" s="3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5"/>
      <c r="Y163" s="35"/>
      <c r="Z163" s="35"/>
      <c r="AA163" s="1"/>
      <c r="AB163" s="1"/>
      <c r="AC163" s="1"/>
      <c r="AD163" s="1"/>
      <c r="AE163" s="1"/>
      <c r="AF163" s="1"/>
      <c r="AG163" s="1"/>
      <c r="AH163" s="1"/>
      <c r="AI163" s="1"/>
    </row>
    <row r="164">
      <c r="A164" s="1"/>
      <c r="B164" s="3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5"/>
      <c r="Y164" s="35"/>
      <c r="Z164" s="35"/>
      <c r="AA164" s="1"/>
      <c r="AB164" s="1"/>
      <c r="AC164" s="1"/>
      <c r="AD164" s="1"/>
      <c r="AE164" s="1"/>
      <c r="AF164" s="1"/>
      <c r="AG164" s="1"/>
      <c r="AH164" s="1"/>
      <c r="AI164" s="1"/>
    </row>
    <row r="165">
      <c r="A165" s="1"/>
      <c r="B165" s="3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5"/>
      <c r="Y165" s="35"/>
      <c r="Z165" s="35"/>
      <c r="AA165" s="1"/>
      <c r="AB165" s="1"/>
      <c r="AC165" s="1"/>
      <c r="AD165" s="1"/>
      <c r="AE165" s="1"/>
      <c r="AF165" s="1"/>
      <c r="AG165" s="1"/>
      <c r="AH165" s="1"/>
      <c r="AI165" s="1"/>
    </row>
    <row r="166">
      <c r="A166" s="1"/>
      <c r="B166" s="3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5"/>
      <c r="Y166" s="35"/>
      <c r="Z166" s="35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A167" s="1"/>
      <c r="B167" s="3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5"/>
      <c r="Y167" s="35"/>
      <c r="Z167" s="35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A168" s="1"/>
      <c r="B168" s="3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5"/>
      <c r="Y168" s="35"/>
      <c r="Z168" s="35"/>
      <c r="AA168" s="1"/>
      <c r="AB168" s="1"/>
      <c r="AC168" s="1"/>
      <c r="AD168" s="1"/>
      <c r="AE168" s="1"/>
      <c r="AF168" s="1"/>
      <c r="AG168" s="1"/>
      <c r="AH168" s="1"/>
      <c r="AI168" s="1"/>
    </row>
    <row r="169">
      <c r="A169" s="1"/>
      <c r="B169" s="3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5"/>
      <c r="Y169" s="35"/>
      <c r="Z169" s="35"/>
      <c r="AA169" s="1"/>
      <c r="AB169" s="1"/>
      <c r="AC169" s="1"/>
      <c r="AD169" s="1"/>
      <c r="AE169" s="1"/>
      <c r="AF169" s="1"/>
      <c r="AG169" s="1"/>
      <c r="AH169" s="1"/>
      <c r="AI169" s="1"/>
    </row>
    <row r="170">
      <c r="A170" s="1"/>
      <c r="B170" s="3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5"/>
      <c r="Y170" s="35"/>
      <c r="Z170" s="35"/>
      <c r="AA170" s="1"/>
      <c r="AB170" s="1"/>
      <c r="AC170" s="1"/>
      <c r="AD170" s="1"/>
      <c r="AE170" s="1"/>
      <c r="AF170" s="1"/>
      <c r="AG170" s="1"/>
      <c r="AH170" s="1"/>
      <c r="AI170" s="1"/>
    </row>
    <row r="171">
      <c r="A171" s="1"/>
      <c r="B171" s="3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5"/>
      <c r="Y171" s="35"/>
      <c r="Z171" s="35"/>
      <c r="AA171" s="1"/>
      <c r="AB171" s="1"/>
      <c r="AC171" s="1"/>
      <c r="AD171" s="1"/>
      <c r="AE171" s="1"/>
      <c r="AF171" s="1"/>
      <c r="AG171" s="1"/>
      <c r="AH171" s="1"/>
      <c r="AI171" s="1"/>
    </row>
    <row r="172">
      <c r="A172" s="1"/>
      <c r="B172" s="3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5"/>
      <c r="Y172" s="35"/>
      <c r="Z172" s="35"/>
      <c r="AA172" s="1"/>
      <c r="AB172" s="1"/>
      <c r="AC172" s="1"/>
      <c r="AD172" s="1"/>
      <c r="AE172" s="1"/>
      <c r="AF172" s="1"/>
      <c r="AG172" s="1"/>
      <c r="AH172" s="1"/>
      <c r="AI172" s="1"/>
    </row>
    <row r="173">
      <c r="A173" s="1"/>
      <c r="B173" s="3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5"/>
      <c r="Y173" s="35"/>
      <c r="Z173" s="35"/>
      <c r="AA173" s="1"/>
      <c r="AB173" s="1"/>
      <c r="AC173" s="1"/>
      <c r="AD173" s="1"/>
      <c r="AE173" s="1"/>
      <c r="AF173" s="1"/>
      <c r="AG173" s="1"/>
      <c r="AH173" s="1"/>
      <c r="AI173" s="1"/>
    </row>
    <row r="174">
      <c r="A174" s="1"/>
      <c r="B174" s="3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5"/>
      <c r="Y174" s="35"/>
      <c r="Z174" s="35"/>
      <c r="AA174" s="1"/>
      <c r="AB174" s="1"/>
      <c r="AC174" s="1"/>
      <c r="AD174" s="1"/>
      <c r="AE174" s="1"/>
      <c r="AF174" s="1"/>
      <c r="AG174" s="1"/>
      <c r="AH174" s="1"/>
      <c r="AI174" s="1"/>
    </row>
    <row r="175">
      <c r="A175" s="1"/>
      <c r="B175" s="3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5"/>
      <c r="Y175" s="35"/>
      <c r="Z175" s="35"/>
      <c r="AA175" s="1"/>
      <c r="AB175" s="1"/>
      <c r="AC175" s="1"/>
      <c r="AD175" s="1"/>
      <c r="AE175" s="1"/>
      <c r="AF175" s="1"/>
      <c r="AG175" s="1"/>
      <c r="AH175" s="1"/>
      <c r="AI175" s="1"/>
    </row>
    <row r="176">
      <c r="A176" s="1"/>
      <c r="B176" s="3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5"/>
      <c r="Y176" s="35"/>
      <c r="Z176" s="35"/>
      <c r="AA176" s="1"/>
      <c r="AB176" s="1"/>
      <c r="AC176" s="1"/>
      <c r="AD176" s="1"/>
      <c r="AE176" s="1"/>
      <c r="AF176" s="1"/>
      <c r="AG176" s="1"/>
      <c r="AH176" s="1"/>
      <c r="AI176" s="1"/>
    </row>
    <row r="177">
      <c r="A177" s="1"/>
      <c r="B177" s="3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5"/>
      <c r="Y177" s="35"/>
      <c r="Z177" s="35"/>
      <c r="AA177" s="1"/>
      <c r="AB177" s="1"/>
      <c r="AC177" s="1"/>
      <c r="AD177" s="1"/>
      <c r="AE177" s="1"/>
      <c r="AF177" s="1"/>
      <c r="AG177" s="1"/>
      <c r="AH177" s="1"/>
      <c r="AI177" s="1"/>
    </row>
    <row r="178">
      <c r="A178" s="1"/>
      <c r="B178" s="3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5"/>
      <c r="Y178" s="35"/>
      <c r="Z178" s="35"/>
      <c r="AA178" s="1"/>
      <c r="AB178" s="1"/>
      <c r="AC178" s="1"/>
      <c r="AD178" s="1"/>
      <c r="AE178" s="1"/>
      <c r="AF178" s="1"/>
      <c r="AG178" s="1"/>
      <c r="AH178" s="1"/>
      <c r="AI178" s="1"/>
    </row>
    <row r="179">
      <c r="A179" s="1"/>
      <c r="B179" s="3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5"/>
      <c r="Y179" s="35"/>
      <c r="Z179" s="35"/>
      <c r="AA179" s="1"/>
      <c r="AB179" s="1"/>
      <c r="AC179" s="1"/>
      <c r="AD179" s="1"/>
      <c r="AE179" s="1"/>
      <c r="AF179" s="1"/>
      <c r="AG179" s="1"/>
      <c r="AH179" s="1"/>
      <c r="AI179" s="1"/>
    </row>
    <row r="180">
      <c r="A180" s="1"/>
      <c r="B180" s="3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5"/>
      <c r="Y180" s="35"/>
      <c r="Z180" s="35"/>
      <c r="AA180" s="1"/>
      <c r="AB180" s="1"/>
      <c r="AC180" s="1"/>
      <c r="AD180" s="1"/>
      <c r="AE180" s="1"/>
      <c r="AF180" s="1"/>
      <c r="AG180" s="1"/>
      <c r="AH180" s="1"/>
      <c r="AI180" s="1"/>
    </row>
    <row r="181">
      <c r="A181" s="1"/>
      <c r="B181" s="3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5"/>
      <c r="Y181" s="35"/>
      <c r="Z181" s="35"/>
      <c r="AA181" s="1"/>
      <c r="AB181" s="1"/>
      <c r="AC181" s="1"/>
      <c r="AD181" s="1"/>
      <c r="AE181" s="1"/>
      <c r="AF181" s="1"/>
      <c r="AG181" s="1"/>
      <c r="AH181" s="1"/>
      <c r="AI181" s="1"/>
    </row>
    <row r="182">
      <c r="A182" s="1"/>
      <c r="B182" s="3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5"/>
      <c r="Y182" s="35"/>
      <c r="Z182" s="35"/>
      <c r="AA182" s="1"/>
      <c r="AB182" s="1"/>
      <c r="AC182" s="1"/>
      <c r="AD182" s="1"/>
      <c r="AE182" s="1"/>
      <c r="AF182" s="1"/>
      <c r="AG182" s="1"/>
      <c r="AH182" s="1"/>
      <c r="AI182" s="1"/>
    </row>
    <row r="183">
      <c r="A183" s="1"/>
      <c r="B183" s="3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5"/>
      <c r="Y183" s="35"/>
      <c r="Z183" s="35"/>
      <c r="AA183" s="1"/>
      <c r="AB183" s="1"/>
      <c r="AC183" s="1"/>
      <c r="AD183" s="1"/>
      <c r="AE183" s="1"/>
      <c r="AF183" s="1"/>
      <c r="AG183" s="1"/>
      <c r="AH183" s="1"/>
      <c r="AI183" s="1"/>
    </row>
    <row r="184">
      <c r="A184" s="1"/>
      <c r="B184" s="3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5"/>
      <c r="Y184" s="35"/>
      <c r="Z184" s="35"/>
      <c r="AA184" s="1"/>
      <c r="AB184" s="1"/>
      <c r="AC184" s="1"/>
      <c r="AD184" s="1"/>
      <c r="AE184" s="1"/>
      <c r="AF184" s="1"/>
      <c r="AG184" s="1"/>
      <c r="AH184" s="1"/>
      <c r="AI184" s="1"/>
    </row>
    <row r="185">
      <c r="A185" s="1"/>
      <c r="B185" s="3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5"/>
      <c r="Y185" s="35"/>
      <c r="Z185" s="35"/>
      <c r="AA185" s="1"/>
      <c r="AB185" s="1"/>
      <c r="AC185" s="1"/>
      <c r="AD185" s="1"/>
      <c r="AE185" s="1"/>
      <c r="AF185" s="1"/>
      <c r="AG185" s="1"/>
      <c r="AH185" s="1"/>
      <c r="AI185" s="1"/>
    </row>
    <row r="186">
      <c r="A186" s="1"/>
      <c r="B186" s="3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5"/>
      <c r="Y186" s="35"/>
      <c r="Z186" s="35"/>
      <c r="AA186" s="1"/>
      <c r="AB186" s="1"/>
      <c r="AC186" s="1"/>
      <c r="AD186" s="1"/>
      <c r="AE186" s="1"/>
      <c r="AF186" s="1"/>
      <c r="AG186" s="1"/>
      <c r="AH186" s="1"/>
      <c r="AI186" s="1"/>
    </row>
    <row r="187">
      <c r="A187" s="1"/>
      <c r="B187" s="3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5"/>
      <c r="Y187" s="35"/>
      <c r="Z187" s="35"/>
      <c r="AA187" s="1"/>
      <c r="AB187" s="1"/>
      <c r="AC187" s="1"/>
      <c r="AD187" s="1"/>
      <c r="AE187" s="1"/>
      <c r="AF187" s="1"/>
      <c r="AG187" s="1"/>
      <c r="AH187" s="1"/>
      <c r="AI187" s="1"/>
    </row>
    <row r="188">
      <c r="A188" s="1"/>
      <c r="B188" s="3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5"/>
      <c r="Y188" s="35"/>
      <c r="Z188" s="35"/>
      <c r="AA188" s="1"/>
      <c r="AB188" s="1"/>
      <c r="AC188" s="1"/>
      <c r="AD188" s="1"/>
      <c r="AE188" s="1"/>
      <c r="AF188" s="1"/>
      <c r="AG188" s="1"/>
      <c r="AH188" s="1"/>
      <c r="AI188" s="1"/>
    </row>
    <row r="189">
      <c r="A189" s="1"/>
      <c r="B189" s="3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5"/>
      <c r="Y189" s="35"/>
      <c r="Z189" s="35"/>
      <c r="AA189" s="1"/>
      <c r="AB189" s="1"/>
      <c r="AC189" s="1"/>
      <c r="AD189" s="1"/>
      <c r="AE189" s="1"/>
      <c r="AF189" s="1"/>
      <c r="AG189" s="1"/>
      <c r="AH189" s="1"/>
      <c r="AI189" s="1"/>
    </row>
    <row r="190">
      <c r="A190" s="1"/>
      <c r="B190" s="3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5"/>
      <c r="Y190" s="35"/>
      <c r="Z190" s="35"/>
      <c r="AA190" s="1"/>
      <c r="AB190" s="1"/>
      <c r="AC190" s="1"/>
      <c r="AD190" s="1"/>
      <c r="AE190" s="1"/>
      <c r="AF190" s="1"/>
      <c r="AG190" s="1"/>
      <c r="AH190" s="1"/>
      <c r="AI190" s="1"/>
    </row>
    <row r="191">
      <c r="A191" s="1"/>
      <c r="B191" s="3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5"/>
      <c r="Y191" s="35"/>
      <c r="Z191" s="35"/>
      <c r="AA191" s="1"/>
      <c r="AB191" s="1"/>
      <c r="AC191" s="1"/>
      <c r="AD191" s="1"/>
      <c r="AE191" s="1"/>
      <c r="AF191" s="1"/>
      <c r="AG191" s="1"/>
      <c r="AH191" s="1"/>
      <c r="AI191" s="1"/>
    </row>
    <row r="192">
      <c r="A192" s="1"/>
      <c r="B192" s="3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5"/>
      <c r="Y192" s="35"/>
      <c r="Z192" s="35"/>
      <c r="AA192" s="1"/>
      <c r="AB192" s="1"/>
      <c r="AC192" s="1"/>
      <c r="AD192" s="1"/>
      <c r="AE192" s="1"/>
      <c r="AF192" s="1"/>
      <c r="AG192" s="1"/>
      <c r="AH192" s="1"/>
      <c r="AI192" s="1"/>
    </row>
    <row r="193">
      <c r="A193" s="1"/>
      <c r="B193" s="3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5"/>
      <c r="Y193" s="35"/>
      <c r="Z193" s="35"/>
      <c r="AA193" s="1"/>
      <c r="AB193" s="1"/>
      <c r="AC193" s="1"/>
      <c r="AD193" s="1"/>
      <c r="AE193" s="1"/>
      <c r="AF193" s="1"/>
      <c r="AG193" s="1"/>
      <c r="AH193" s="1"/>
      <c r="AI193" s="1"/>
    </row>
    <row r="194">
      <c r="A194" s="1"/>
      <c r="B194" s="3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5"/>
      <c r="Y194" s="35"/>
      <c r="Z194" s="35"/>
      <c r="AA194" s="1"/>
      <c r="AB194" s="1"/>
      <c r="AC194" s="1"/>
      <c r="AD194" s="1"/>
      <c r="AE194" s="1"/>
      <c r="AF194" s="1"/>
      <c r="AG194" s="1"/>
      <c r="AH194" s="1"/>
      <c r="AI194" s="1"/>
    </row>
    <row r="195">
      <c r="A195" s="1"/>
      <c r="B195" s="3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5"/>
      <c r="Y195" s="35"/>
      <c r="Z195" s="35"/>
      <c r="AA195" s="1"/>
      <c r="AB195" s="1"/>
      <c r="AC195" s="1"/>
      <c r="AD195" s="1"/>
      <c r="AE195" s="1"/>
      <c r="AF195" s="1"/>
      <c r="AG195" s="1"/>
      <c r="AH195" s="1"/>
      <c r="AI195" s="1"/>
    </row>
    <row r="196">
      <c r="A196" s="1"/>
      <c r="B196" s="3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5"/>
      <c r="Y196" s="35"/>
      <c r="Z196" s="35"/>
      <c r="AA196" s="1"/>
      <c r="AB196" s="1"/>
      <c r="AC196" s="1"/>
      <c r="AD196" s="1"/>
      <c r="AE196" s="1"/>
      <c r="AF196" s="1"/>
      <c r="AG196" s="1"/>
      <c r="AH196" s="1"/>
      <c r="AI196" s="1"/>
    </row>
    <row r="197">
      <c r="A197" s="1"/>
      <c r="B197" s="3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5"/>
      <c r="Y197" s="35"/>
      <c r="Z197" s="35"/>
      <c r="AA197" s="1"/>
      <c r="AB197" s="1"/>
      <c r="AC197" s="1"/>
      <c r="AD197" s="1"/>
      <c r="AE197" s="1"/>
      <c r="AF197" s="1"/>
      <c r="AG197" s="1"/>
      <c r="AH197" s="1"/>
      <c r="AI197" s="1"/>
    </row>
    <row r="198">
      <c r="A198" s="1"/>
      <c r="B198" s="3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5"/>
      <c r="Y198" s="35"/>
      <c r="Z198" s="35"/>
      <c r="AA198" s="1"/>
      <c r="AB198" s="1"/>
      <c r="AC198" s="1"/>
      <c r="AD198" s="1"/>
      <c r="AE198" s="1"/>
      <c r="AF198" s="1"/>
      <c r="AG198" s="1"/>
      <c r="AH198" s="1"/>
      <c r="AI198" s="1"/>
    </row>
    <row r="199">
      <c r="A199" s="1"/>
      <c r="B199" s="3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5"/>
      <c r="Y199" s="35"/>
      <c r="Z199" s="35"/>
      <c r="AA199" s="1"/>
      <c r="AB199" s="1"/>
      <c r="AC199" s="1"/>
      <c r="AD199" s="1"/>
      <c r="AE199" s="1"/>
      <c r="AF199" s="1"/>
      <c r="AG199" s="1"/>
      <c r="AH199" s="1"/>
      <c r="AI199" s="1"/>
    </row>
    <row r="200">
      <c r="A200" s="1"/>
      <c r="B200" s="3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5"/>
      <c r="Y200" s="35"/>
      <c r="Z200" s="35"/>
      <c r="AA200" s="1"/>
      <c r="AB200" s="1"/>
      <c r="AC200" s="1"/>
      <c r="AD200" s="1"/>
      <c r="AE200" s="1"/>
      <c r="AF200" s="1"/>
      <c r="AG200" s="1"/>
      <c r="AH200" s="1"/>
      <c r="AI200" s="1"/>
    </row>
    <row r="201">
      <c r="A201" s="1"/>
      <c r="B201" s="3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5"/>
      <c r="Y201" s="35"/>
      <c r="Z201" s="35"/>
      <c r="AA201" s="1"/>
      <c r="AB201" s="1"/>
      <c r="AC201" s="1"/>
      <c r="AD201" s="1"/>
      <c r="AE201" s="1"/>
      <c r="AF201" s="1"/>
      <c r="AG201" s="1"/>
      <c r="AH201" s="1"/>
      <c r="AI201" s="1"/>
    </row>
    <row r="202">
      <c r="A202" s="1"/>
      <c r="B202" s="3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5"/>
      <c r="Y202" s="35"/>
      <c r="Z202" s="35"/>
      <c r="AA202" s="1"/>
      <c r="AB202" s="1"/>
      <c r="AC202" s="1"/>
      <c r="AD202" s="1"/>
      <c r="AE202" s="1"/>
      <c r="AF202" s="1"/>
      <c r="AG202" s="1"/>
      <c r="AH202" s="1"/>
      <c r="AI202" s="1"/>
    </row>
    <row r="203">
      <c r="A203" s="1"/>
      <c r="B203" s="3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5"/>
      <c r="Y203" s="35"/>
      <c r="Z203" s="35"/>
      <c r="AA203" s="1"/>
      <c r="AB203" s="1"/>
      <c r="AC203" s="1"/>
      <c r="AD203" s="1"/>
      <c r="AE203" s="1"/>
      <c r="AF203" s="1"/>
      <c r="AG203" s="1"/>
      <c r="AH203" s="1"/>
      <c r="AI203" s="1"/>
    </row>
    <row r="204">
      <c r="A204" s="1"/>
      <c r="B204" s="3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5"/>
      <c r="Y204" s="35"/>
      <c r="Z204" s="35"/>
      <c r="AA204" s="1"/>
      <c r="AB204" s="1"/>
      <c r="AC204" s="1"/>
      <c r="AD204" s="1"/>
      <c r="AE204" s="1"/>
      <c r="AF204" s="1"/>
      <c r="AG204" s="1"/>
      <c r="AH204" s="1"/>
      <c r="AI204" s="1"/>
    </row>
    <row r="205">
      <c r="A205" s="1"/>
      <c r="B205" s="3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5"/>
      <c r="Y205" s="35"/>
      <c r="Z205" s="35"/>
      <c r="AA205" s="1"/>
      <c r="AB205" s="1"/>
      <c r="AC205" s="1"/>
      <c r="AD205" s="1"/>
      <c r="AE205" s="1"/>
      <c r="AF205" s="1"/>
      <c r="AG205" s="1"/>
      <c r="AH205" s="1"/>
      <c r="AI205" s="1"/>
    </row>
    <row r="206">
      <c r="A206" s="1"/>
      <c r="B206" s="3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5"/>
      <c r="Y206" s="35"/>
      <c r="Z206" s="35"/>
      <c r="AA206" s="1"/>
      <c r="AB206" s="1"/>
      <c r="AC206" s="1"/>
      <c r="AD206" s="1"/>
      <c r="AE206" s="1"/>
      <c r="AF206" s="1"/>
      <c r="AG206" s="1"/>
      <c r="AH206" s="1"/>
      <c r="AI206" s="1"/>
    </row>
    <row r="207">
      <c r="A207" s="1"/>
      <c r="B207" s="3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5"/>
      <c r="Y207" s="35"/>
      <c r="Z207" s="35"/>
      <c r="AA207" s="1"/>
      <c r="AB207" s="1"/>
      <c r="AC207" s="1"/>
      <c r="AD207" s="1"/>
      <c r="AE207" s="1"/>
      <c r="AF207" s="1"/>
      <c r="AG207" s="1"/>
      <c r="AH207" s="1"/>
      <c r="AI207" s="1"/>
    </row>
    <row r="208">
      <c r="A208" s="1"/>
      <c r="B208" s="3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5"/>
      <c r="Y208" s="35"/>
      <c r="Z208" s="35"/>
      <c r="AA208" s="1"/>
      <c r="AB208" s="1"/>
      <c r="AC208" s="1"/>
      <c r="AD208" s="1"/>
      <c r="AE208" s="1"/>
      <c r="AF208" s="1"/>
      <c r="AG208" s="1"/>
      <c r="AH208" s="1"/>
      <c r="AI208" s="1"/>
    </row>
    <row r="209">
      <c r="A209" s="1"/>
      <c r="B209" s="3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5"/>
      <c r="Y209" s="35"/>
      <c r="Z209" s="35"/>
      <c r="AA209" s="1"/>
      <c r="AB209" s="1"/>
      <c r="AC209" s="1"/>
      <c r="AD209" s="1"/>
      <c r="AE209" s="1"/>
      <c r="AF209" s="1"/>
      <c r="AG209" s="1"/>
      <c r="AH209" s="1"/>
      <c r="AI209" s="1"/>
    </row>
    <row r="210">
      <c r="A210" s="1"/>
      <c r="B210" s="3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5"/>
      <c r="Y210" s="35"/>
      <c r="Z210" s="35"/>
      <c r="AA210" s="1"/>
      <c r="AB210" s="1"/>
      <c r="AC210" s="1"/>
      <c r="AD210" s="1"/>
      <c r="AE210" s="1"/>
      <c r="AF210" s="1"/>
      <c r="AG210" s="1"/>
      <c r="AH210" s="1"/>
      <c r="AI210" s="1"/>
    </row>
    <row r="211">
      <c r="A211" s="1"/>
      <c r="B211" s="3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5"/>
      <c r="Y211" s="35"/>
      <c r="Z211" s="35"/>
      <c r="AA211" s="1"/>
      <c r="AB211" s="1"/>
      <c r="AC211" s="1"/>
      <c r="AD211" s="1"/>
      <c r="AE211" s="1"/>
      <c r="AF211" s="1"/>
      <c r="AG211" s="1"/>
      <c r="AH211" s="1"/>
      <c r="AI211" s="1"/>
    </row>
    <row r="212">
      <c r="A212" s="1"/>
      <c r="B212" s="3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5"/>
      <c r="Y212" s="35"/>
      <c r="Z212" s="35"/>
      <c r="AA212" s="1"/>
      <c r="AB212" s="1"/>
      <c r="AC212" s="1"/>
      <c r="AD212" s="1"/>
      <c r="AE212" s="1"/>
      <c r="AF212" s="1"/>
      <c r="AG212" s="1"/>
      <c r="AH212" s="1"/>
      <c r="AI212" s="1"/>
    </row>
    <row r="213">
      <c r="A213" s="1"/>
      <c r="B213" s="3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5"/>
      <c r="Y213" s="35"/>
      <c r="Z213" s="35"/>
      <c r="AA213" s="1"/>
      <c r="AB213" s="1"/>
      <c r="AC213" s="1"/>
      <c r="AD213" s="1"/>
      <c r="AE213" s="1"/>
      <c r="AF213" s="1"/>
      <c r="AG213" s="1"/>
      <c r="AH213" s="1"/>
      <c r="AI213" s="1"/>
    </row>
    <row r="214">
      <c r="A214" s="1"/>
      <c r="B214" s="3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5"/>
      <c r="Y214" s="35"/>
      <c r="Z214" s="35"/>
      <c r="AA214" s="1"/>
      <c r="AB214" s="1"/>
      <c r="AC214" s="1"/>
      <c r="AD214" s="1"/>
      <c r="AE214" s="1"/>
      <c r="AF214" s="1"/>
      <c r="AG214" s="1"/>
      <c r="AH214" s="1"/>
      <c r="AI214" s="1"/>
    </row>
    <row r="215">
      <c r="A215" s="1"/>
      <c r="B215" s="3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5"/>
      <c r="Y215" s="35"/>
      <c r="Z215" s="35"/>
      <c r="AA215" s="1"/>
      <c r="AB215" s="1"/>
      <c r="AC215" s="1"/>
      <c r="AD215" s="1"/>
      <c r="AE215" s="1"/>
      <c r="AF215" s="1"/>
      <c r="AG215" s="1"/>
      <c r="AH215" s="1"/>
      <c r="AI215" s="1"/>
    </row>
    <row r="216">
      <c r="A216" s="1"/>
      <c r="B216" s="3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5"/>
      <c r="Y216" s="35"/>
      <c r="Z216" s="35"/>
      <c r="AA216" s="1"/>
      <c r="AB216" s="1"/>
      <c r="AC216" s="1"/>
      <c r="AD216" s="1"/>
      <c r="AE216" s="1"/>
      <c r="AF216" s="1"/>
      <c r="AG216" s="1"/>
      <c r="AH216" s="1"/>
      <c r="AI216" s="1"/>
    </row>
    <row r="217">
      <c r="A217" s="1"/>
      <c r="B217" s="3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5"/>
      <c r="Y217" s="35"/>
      <c r="Z217" s="35"/>
      <c r="AA217" s="1"/>
      <c r="AB217" s="1"/>
      <c r="AC217" s="1"/>
      <c r="AD217" s="1"/>
      <c r="AE217" s="1"/>
      <c r="AF217" s="1"/>
      <c r="AG217" s="1"/>
      <c r="AH217" s="1"/>
      <c r="AI217" s="1"/>
    </row>
    <row r="218">
      <c r="A218" s="1"/>
      <c r="B218" s="3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5"/>
      <c r="Y218" s="35"/>
      <c r="Z218" s="35"/>
      <c r="AA218" s="1"/>
      <c r="AB218" s="1"/>
      <c r="AC218" s="1"/>
      <c r="AD218" s="1"/>
      <c r="AE218" s="1"/>
      <c r="AF218" s="1"/>
      <c r="AG218" s="1"/>
      <c r="AH218" s="1"/>
      <c r="AI218" s="1"/>
    </row>
    <row r="219">
      <c r="A219" s="1"/>
      <c r="B219" s="3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5"/>
      <c r="Y219" s="35"/>
      <c r="Z219" s="35"/>
      <c r="AA219" s="1"/>
      <c r="AB219" s="1"/>
      <c r="AC219" s="1"/>
      <c r="AD219" s="1"/>
      <c r="AE219" s="1"/>
      <c r="AF219" s="1"/>
      <c r="AG219" s="1"/>
      <c r="AH219" s="1"/>
      <c r="AI219" s="1"/>
    </row>
    <row r="220">
      <c r="A220" s="1"/>
      <c r="B220" s="3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5"/>
      <c r="Y220" s="35"/>
      <c r="Z220" s="35"/>
      <c r="AA220" s="1"/>
      <c r="AB220" s="1"/>
      <c r="AC220" s="1"/>
      <c r="AD220" s="1"/>
      <c r="AE220" s="1"/>
      <c r="AF220" s="1"/>
      <c r="AG220" s="1"/>
      <c r="AH220" s="1"/>
      <c r="AI220" s="1"/>
    </row>
    <row r="221">
      <c r="A221" s="1"/>
      <c r="B221" s="3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5"/>
      <c r="Y221" s="35"/>
      <c r="Z221" s="35"/>
      <c r="AA221" s="1"/>
      <c r="AB221" s="1"/>
      <c r="AC221" s="1"/>
      <c r="AD221" s="1"/>
      <c r="AE221" s="1"/>
      <c r="AF221" s="1"/>
      <c r="AG221" s="1"/>
      <c r="AH221" s="1"/>
      <c r="AI221" s="1"/>
    </row>
    <row r="222">
      <c r="A222" s="1"/>
      <c r="B222" s="3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5"/>
      <c r="Y222" s="35"/>
      <c r="Z222" s="35"/>
      <c r="AA222" s="1"/>
      <c r="AB222" s="1"/>
      <c r="AC222" s="1"/>
      <c r="AD222" s="1"/>
      <c r="AE222" s="1"/>
      <c r="AF222" s="1"/>
      <c r="AG222" s="1"/>
      <c r="AH222" s="1"/>
      <c r="AI222" s="1"/>
    </row>
    <row r="223">
      <c r="A223" s="1"/>
      <c r="B223" s="3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5"/>
      <c r="Y223" s="35"/>
      <c r="Z223" s="35"/>
      <c r="AA223" s="1"/>
      <c r="AB223" s="1"/>
      <c r="AC223" s="1"/>
      <c r="AD223" s="1"/>
      <c r="AE223" s="1"/>
      <c r="AF223" s="1"/>
      <c r="AG223" s="1"/>
      <c r="AH223" s="1"/>
      <c r="AI223" s="1"/>
    </row>
    <row r="224">
      <c r="A224" s="1"/>
      <c r="B224" s="3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5"/>
      <c r="Y224" s="35"/>
      <c r="Z224" s="35"/>
      <c r="AA224" s="1"/>
      <c r="AB224" s="1"/>
      <c r="AC224" s="1"/>
      <c r="AD224" s="1"/>
      <c r="AE224" s="1"/>
      <c r="AF224" s="1"/>
      <c r="AG224" s="1"/>
      <c r="AH224" s="1"/>
      <c r="AI224" s="1"/>
    </row>
    <row r="225">
      <c r="A225" s="1"/>
      <c r="B225" s="3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5"/>
      <c r="Y225" s="35"/>
      <c r="Z225" s="35"/>
      <c r="AA225" s="1"/>
      <c r="AB225" s="1"/>
      <c r="AC225" s="1"/>
      <c r="AD225" s="1"/>
      <c r="AE225" s="1"/>
      <c r="AF225" s="1"/>
      <c r="AG225" s="1"/>
      <c r="AH225" s="1"/>
      <c r="AI225" s="1"/>
    </row>
    <row r="226">
      <c r="A226" s="1"/>
      <c r="B226" s="3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5"/>
      <c r="Y226" s="35"/>
      <c r="Z226" s="35"/>
      <c r="AA226" s="1"/>
      <c r="AB226" s="1"/>
      <c r="AC226" s="1"/>
      <c r="AD226" s="1"/>
      <c r="AE226" s="1"/>
      <c r="AF226" s="1"/>
      <c r="AG226" s="1"/>
      <c r="AH226" s="1"/>
      <c r="AI226" s="1"/>
    </row>
    <row r="227">
      <c r="A227" s="1"/>
      <c r="B227" s="3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5"/>
      <c r="Y227" s="35"/>
      <c r="Z227" s="35"/>
      <c r="AA227" s="1"/>
      <c r="AB227" s="1"/>
      <c r="AC227" s="1"/>
      <c r="AD227" s="1"/>
      <c r="AE227" s="1"/>
      <c r="AF227" s="1"/>
      <c r="AG227" s="1"/>
      <c r="AH227" s="1"/>
      <c r="AI227" s="1"/>
    </row>
    <row r="228">
      <c r="A228" s="1"/>
      <c r="B228" s="3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5"/>
      <c r="Y228" s="35"/>
      <c r="Z228" s="35"/>
      <c r="AA228" s="1"/>
      <c r="AB228" s="1"/>
      <c r="AC228" s="1"/>
      <c r="AD228" s="1"/>
      <c r="AE228" s="1"/>
      <c r="AF228" s="1"/>
      <c r="AG228" s="1"/>
      <c r="AH228" s="1"/>
      <c r="AI228" s="1"/>
    </row>
    <row r="229">
      <c r="A229" s="1"/>
      <c r="B229" s="3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5"/>
      <c r="Y229" s="35"/>
      <c r="Z229" s="35"/>
      <c r="AA229" s="1"/>
      <c r="AB229" s="1"/>
      <c r="AC229" s="1"/>
      <c r="AD229" s="1"/>
      <c r="AE229" s="1"/>
      <c r="AF229" s="1"/>
      <c r="AG229" s="1"/>
      <c r="AH229" s="1"/>
      <c r="AI229" s="1"/>
    </row>
    <row r="230">
      <c r="A230" s="1"/>
      <c r="B230" s="3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5"/>
      <c r="Y230" s="35"/>
      <c r="Z230" s="35"/>
      <c r="AA230" s="1"/>
      <c r="AB230" s="1"/>
      <c r="AC230" s="1"/>
      <c r="AD230" s="1"/>
      <c r="AE230" s="1"/>
      <c r="AF230" s="1"/>
      <c r="AG230" s="1"/>
      <c r="AH230" s="1"/>
      <c r="AI230" s="1"/>
    </row>
    <row r="231">
      <c r="A231" s="1"/>
      <c r="B231" s="3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5"/>
      <c r="Y231" s="35"/>
      <c r="Z231" s="35"/>
      <c r="AA231" s="1"/>
      <c r="AB231" s="1"/>
      <c r="AC231" s="1"/>
      <c r="AD231" s="1"/>
      <c r="AE231" s="1"/>
      <c r="AF231" s="1"/>
      <c r="AG231" s="1"/>
      <c r="AH231" s="1"/>
      <c r="AI231" s="1"/>
    </row>
    <row r="232">
      <c r="A232" s="1"/>
      <c r="B232" s="3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5"/>
      <c r="Y232" s="35"/>
      <c r="Z232" s="35"/>
      <c r="AA232" s="1"/>
      <c r="AB232" s="1"/>
      <c r="AC232" s="1"/>
      <c r="AD232" s="1"/>
      <c r="AE232" s="1"/>
      <c r="AF232" s="1"/>
      <c r="AG232" s="1"/>
      <c r="AH232" s="1"/>
      <c r="AI232" s="1"/>
    </row>
    <row r="233">
      <c r="A233" s="1"/>
      <c r="B233" s="3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5"/>
      <c r="Y233" s="35"/>
      <c r="Z233" s="35"/>
      <c r="AA233" s="1"/>
      <c r="AB233" s="1"/>
      <c r="AC233" s="1"/>
      <c r="AD233" s="1"/>
      <c r="AE233" s="1"/>
      <c r="AF233" s="1"/>
      <c r="AG233" s="1"/>
      <c r="AH233" s="1"/>
      <c r="AI233" s="1"/>
    </row>
    <row r="234">
      <c r="A234" s="1"/>
      <c r="B234" s="3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5"/>
      <c r="Y234" s="35"/>
      <c r="Z234" s="35"/>
      <c r="AA234" s="1"/>
      <c r="AB234" s="1"/>
      <c r="AC234" s="1"/>
      <c r="AD234" s="1"/>
      <c r="AE234" s="1"/>
      <c r="AF234" s="1"/>
      <c r="AG234" s="1"/>
      <c r="AH234" s="1"/>
      <c r="AI234" s="1"/>
    </row>
    <row r="235">
      <c r="A235" s="1"/>
      <c r="B235" s="3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5"/>
      <c r="Y235" s="35"/>
      <c r="Z235" s="35"/>
      <c r="AA235" s="1"/>
      <c r="AB235" s="1"/>
      <c r="AC235" s="1"/>
      <c r="AD235" s="1"/>
      <c r="AE235" s="1"/>
      <c r="AF235" s="1"/>
      <c r="AG235" s="1"/>
      <c r="AH235" s="1"/>
      <c r="AI235" s="1"/>
    </row>
    <row r="236">
      <c r="A236" s="1"/>
      <c r="B236" s="3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5"/>
      <c r="Y236" s="35"/>
      <c r="Z236" s="35"/>
      <c r="AA236" s="1"/>
      <c r="AB236" s="1"/>
      <c r="AC236" s="1"/>
      <c r="AD236" s="1"/>
      <c r="AE236" s="1"/>
      <c r="AF236" s="1"/>
      <c r="AG236" s="1"/>
      <c r="AH236" s="1"/>
      <c r="AI236" s="1"/>
    </row>
    <row r="237">
      <c r="A237" s="1"/>
      <c r="B237" s="3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5"/>
      <c r="Y237" s="35"/>
      <c r="Z237" s="35"/>
      <c r="AA237" s="1"/>
      <c r="AB237" s="1"/>
      <c r="AC237" s="1"/>
      <c r="AD237" s="1"/>
      <c r="AE237" s="1"/>
      <c r="AF237" s="1"/>
      <c r="AG237" s="1"/>
      <c r="AH237" s="1"/>
      <c r="AI237" s="1"/>
    </row>
    <row r="238">
      <c r="A238" s="1"/>
      <c r="B238" s="3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5"/>
      <c r="Y238" s="35"/>
      <c r="Z238" s="35"/>
      <c r="AA238" s="1"/>
      <c r="AB238" s="1"/>
      <c r="AC238" s="1"/>
      <c r="AD238" s="1"/>
      <c r="AE238" s="1"/>
      <c r="AF238" s="1"/>
      <c r="AG238" s="1"/>
      <c r="AH238" s="1"/>
      <c r="AI238" s="1"/>
    </row>
    <row r="239">
      <c r="A239" s="1"/>
      <c r="B239" s="3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5"/>
      <c r="Y239" s="35"/>
      <c r="Z239" s="35"/>
      <c r="AA239" s="1"/>
      <c r="AB239" s="1"/>
      <c r="AC239" s="1"/>
      <c r="AD239" s="1"/>
      <c r="AE239" s="1"/>
      <c r="AF239" s="1"/>
      <c r="AG239" s="1"/>
      <c r="AH239" s="1"/>
      <c r="AI239" s="1"/>
    </row>
    <row r="240">
      <c r="A240" s="1"/>
      <c r="B240" s="3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5"/>
      <c r="Y240" s="35"/>
      <c r="Z240" s="35"/>
      <c r="AA240" s="1"/>
      <c r="AB240" s="1"/>
      <c r="AC240" s="1"/>
      <c r="AD240" s="1"/>
      <c r="AE240" s="1"/>
      <c r="AF240" s="1"/>
      <c r="AG240" s="1"/>
      <c r="AH240" s="1"/>
      <c r="AI240" s="1"/>
    </row>
    <row r="241">
      <c r="A241" s="1"/>
      <c r="B241" s="3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5"/>
      <c r="Y241" s="35"/>
      <c r="Z241" s="35"/>
      <c r="AA241" s="1"/>
      <c r="AB241" s="1"/>
      <c r="AC241" s="1"/>
      <c r="AD241" s="1"/>
      <c r="AE241" s="1"/>
      <c r="AF241" s="1"/>
      <c r="AG241" s="1"/>
      <c r="AH241" s="1"/>
      <c r="AI241" s="1"/>
    </row>
    <row r="242">
      <c r="A242" s="1"/>
      <c r="B242" s="3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5"/>
      <c r="Y242" s="35"/>
      <c r="Z242" s="35"/>
      <c r="AA242" s="1"/>
      <c r="AB242" s="1"/>
      <c r="AC242" s="1"/>
      <c r="AD242" s="1"/>
      <c r="AE242" s="1"/>
      <c r="AF242" s="1"/>
      <c r="AG242" s="1"/>
      <c r="AH242" s="1"/>
      <c r="AI242" s="1"/>
    </row>
    <row r="243">
      <c r="A243" s="1"/>
      <c r="B243" s="3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5"/>
      <c r="Y243" s="35"/>
      <c r="Z243" s="35"/>
      <c r="AA243" s="1"/>
      <c r="AB243" s="1"/>
      <c r="AC243" s="1"/>
      <c r="AD243" s="1"/>
      <c r="AE243" s="1"/>
      <c r="AF243" s="1"/>
      <c r="AG243" s="1"/>
      <c r="AH243" s="1"/>
      <c r="AI243" s="1"/>
    </row>
    <row r="244">
      <c r="A244" s="1"/>
      <c r="B244" s="3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5"/>
      <c r="Y244" s="35"/>
      <c r="Z244" s="35"/>
      <c r="AA244" s="1"/>
      <c r="AB244" s="1"/>
      <c r="AC244" s="1"/>
      <c r="AD244" s="1"/>
      <c r="AE244" s="1"/>
      <c r="AF244" s="1"/>
      <c r="AG244" s="1"/>
      <c r="AH244" s="1"/>
      <c r="AI244" s="1"/>
    </row>
    <row r="245">
      <c r="A245" s="1"/>
      <c r="B245" s="3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5"/>
      <c r="Y245" s="35"/>
      <c r="Z245" s="35"/>
      <c r="AA245" s="1"/>
      <c r="AB245" s="1"/>
      <c r="AC245" s="1"/>
      <c r="AD245" s="1"/>
      <c r="AE245" s="1"/>
      <c r="AF245" s="1"/>
      <c r="AG245" s="1"/>
      <c r="AH245" s="1"/>
      <c r="AI245" s="1"/>
    </row>
    <row r="246">
      <c r="A246" s="1"/>
      <c r="B246" s="3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35"/>
      <c r="Y246" s="35"/>
      <c r="Z246" s="35"/>
      <c r="AA246" s="1"/>
      <c r="AB246" s="1"/>
      <c r="AC246" s="1"/>
      <c r="AD246" s="1"/>
      <c r="AE246" s="1"/>
      <c r="AF246" s="1"/>
      <c r="AG246" s="1"/>
      <c r="AH246" s="1"/>
      <c r="AI246" s="1"/>
    </row>
    <row r="247">
      <c r="A247" s="1"/>
      <c r="B247" s="3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35"/>
      <c r="Y247" s="35"/>
      <c r="Z247" s="35"/>
      <c r="AA247" s="1"/>
      <c r="AB247" s="1"/>
      <c r="AC247" s="1"/>
      <c r="AD247" s="1"/>
      <c r="AE247" s="1"/>
      <c r="AF247" s="1"/>
      <c r="AG247" s="1"/>
      <c r="AH247" s="1"/>
      <c r="AI247" s="1"/>
    </row>
    <row r="248">
      <c r="A248" s="1"/>
      <c r="B248" s="3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35"/>
      <c r="Y248" s="35"/>
      <c r="Z248" s="35"/>
      <c r="AA248" s="1"/>
      <c r="AB248" s="1"/>
      <c r="AC248" s="1"/>
      <c r="AD248" s="1"/>
      <c r="AE248" s="1"/>
      <c r="AF248" s="1"/>
      <c r="AG248" s="1"/>
      <c r="AH248" s="1"/>
      <c r="AI248" s="1"/>
    </row>
    <row r="249">
      <c r="A249" s="1"/>
      <c r="B249" s="3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35"/>
      <c r="Y249" s="35"/>
      <c r="Z249" s="35"/>
      <c r="AA249" s="1"/>
      <c r="AB249" s="1"/>
      <c r="AC249" s="1"/>
      <c r="AD249" s="1"/>
      <c r="AE249" s="1"/>
      <c r="AF249" s="1"/>
      <c r="AG249" s="1"/>
      <c r="AH249" s="1"/>
      <c r="AI249" s="1"/>
    </row>
    <row r="250">
      <c r="A250" s="1"/>
      <c r="B250" s="3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35"/>
      <c r="Y250" s="35"/>
      <c r="Z250" s="35"/>
      <c r="AA250" s="1"/>
      <c r="AB250" s="1"/>
      <c r="AC250" s="1"/>
      <c r="AD250" s="1"/>
      <c r="AE250" s="1"/>
      <c r="AF250" s="1"/>
      <c r="AG250" s="1"/>
      <c r="AH250" s="1"/>
      <c r="AI250" s="1"/>
    </row>
    <row r="251">
      <c r="A251" s="1"/>
      <c r="B251" s="3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35"/>
      <c r="Y251" s="35"/>
      <c r="Z251" s="35"/>
      <c r="AA251" s="1"/>
      <c r="AB251" s="1"/>
      <c r="AC251" s="1"/>
      <c r="AD251" s="1"/>
      <c r="AE251" s="1"/>
      <c r="AF251" s="1"/>
      <c r="AG251" s="1"/>
      <c r="AH251" s="1"/>
      <c r="AI251" s="1"/>
    </row>
    <row r="252">
      <c r="A252" s="1"/>
      <c r="B252" s="3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35"/>
      <c r="Y252" s="35"/>
      <c r="Z252" s="35"/>
      <c r="AA252" s="1"/>
      <c r="AB252" s="1"/>
      <c r="AC252" s="1"/>
      <c r="AD252" s="1"/>
      <c r="AE252" s="1"/>
      <c r="AF252" s="1"/>
      <c r="AG252" s="1"/>
      <c r="AH252" s="1"/>
      <c r="AI252" s="1"/>
    </row>
    <row r="253">
      <c r="A253" s="1"/>
      <c r="B253" s="3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35"/>
      <c r="Y253" s="35"/>
      <c r="Z253" s="35"/>
      <c r="AA253" s="1"/>
      <c r="AB253" s="1"/>
      <c r="AC253" s="1"/>
      <c r="AD253" s="1"/>
      <c r="AE253" s="1"/>
      <c r="AF253" s="1"/>
      <c r="AG253" s="1"/>
      <c r="AH253" s="1"/>
      <c r="AI253" s="1"/>
    </row>
    <row r="254">
      <c r="A254" s="1"/>
      <c r="B254" s="3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35"/>
      <c r="Y254" s="35"/>
      <c r="Z254" s="35"/>
      <c r="AA254" s="1"/>
      <c r="AB254" s="1"/>
      <c r="AC254" s="1"/>
      <c r="AD254" s="1"/>
      <c r="AE254" s="1"/>
      <c r="AF254" s="1"/>
      <c r="AG254" s="1"/>
      <c r="AH254" s="1"/>
      <c r="AI254" s="1"/>
    </row>
    <row r="255">
      <c r="A255" s="1"/>
      <c r="B255" s="3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35"/>
      <c r="Y255" s="35"/>
      <c r="Z255" s="35"/>
      <c r="AA255" s="1"/>
      <c r="AB255" s="1"/>
      <c r="AC255" s="1"/>
      <c r="AD255" s="1"/>
      <c r="AE255" s="1"/>
      <c r="AF255" s="1"/>
      <c r="AG255" s="1"/>
      <c r="AH255" s="1"/>
      <c r="AI255" s="1"/>
    </row>
    <row r="256">
      <c r="A256" s="1"/>
      <c r="B256" s="3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35"/>
      <c r="Y256" s="35"/>
      <c r="Z256" s="35"/>
      <c r="AA256" s="1"/>
      <c r="AB256" s="1"/>
      <c r="AC256" s="1"/>
      <c r="AD256" s="1"/>
      <c r="AE256" s="1"/>
      <c r="AF256" s="1"/>
      <c r="AG256" s="1"/>
      <c r="AH256" s="1"/>
      <c r="AI256" s="1"/>
    </row>
    <row r="257">
      <c r="A257" s="1"/>
      <c r="B257" s="3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35"/>
      <c r="Y257" s="35"/>
      <c r="Z257" s="35"/>
      <c r="AA257" s="1"/>
      <c r="AB257" s="1"/>
      <c r="AC257" s="1"/>
      <c r="AD257" s="1"/>
      <c r="AE257" s="1"/>
      <c r="AF257" s="1"/>
      <c r="AG257" s="1"/>
      <c r="AH257" s="1"/>
      <c r="AI257" s="1"/>
    </row>
    <row r="258">
      <c r="A258" s="1"/>
      <c r="B258" s="3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35"/>
      <c r="Y258" s="35"/>
      <c r="Z258" s="35"/>
      <c r="AA258" s="1"/>
      <c r="AB258" s="1"/>
      <c r="AC258" s="1"/>
      <c r="AD258" s="1"/>
      <c r="AE258" s="1"/>
      <c r="AF258" s="1"/>
      <c r="AG258" s="1"/>
      <c r="AH258" s="1"/>
      <c r="AI258" s="1"/>
    </row>
    <row r="259">
      <c r="A259" s="1"/>
      <c r="B259" s="3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35"/>
      <c r="Y259" s="35"/>
      <c r="Z259" s="35"/>
      <c r="AA259" s="1"/>
      <c r="AB259" s="1"/>
      <c r="AC259" s="1"/>
      <c r="AD259" s="1"/>
      <c r="AE259" s="1"/>
      <c r="AF259" s="1"/>
      <c r="AG259" s="1"/>
      <c r="AH259" s="1"/>
      <c r="AI259" s="1"/>
    </row>
    <row r="260">
      <c r="A260" s="1"/>
      <c r="B260" s="3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35"/>
      <c r="Y260" s="35"/>
      <c r="Z260" s="35"/>
      <c r="AA260" s="1"/>
      <c r="AB260" s="1"/>
      <c r="AC260" s="1"/>
      <c r="AD260" s="1"/>
      <c r="AE260" s="1"/>
      <c r="AF260" s="1"/>
      <c r="AG260" s="1"/>
      <c r="AH260" s="1"/>
      <c r="AI260" s="1"/>
    </row>
    <row r="261">
      <c r="A261" s="1"/>
      <c r="B261" s="3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35"/>
      <c r="Y261" s="35"/>
      <c r="Z261" s="35"/>
      <c r="AA261" s="1"/>
      <c r="AB261" s="1"/>
      <c r="AC261" s="1"/>
      <c r="AD261" s="1"/>
      <c r="AE261" s="1"/>
      <c r="AF261" s="1"/>
      <c r="AG261" s="1"/>
      <c r="AH261" s="1"/>
      <c r="AI261" s="1"/>
    </row>
    <row r="262">
      <c r="A262" s="1"/>
      <c r="B262" s="3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35"/>
      <c r="Y262" s="35"/>
      <c r="Z262" s="35"/>
      <c r="AA262" s="1"/>
      <c r="AB262" s="1"/>
      <c r="AC262" s="1"/>
      <c r="AD262" s="1"/>
      <c r="AE262" s="1"/>
      <c r="AF262" s="1"/>
      <c r="AG262" s="1"/>
      <c r="AH262" s="1"/>
      <c r="AI262" s="1"/>
    </row>
    <row r="263">
      <c r="A263" s="1"/>
      <c r="B263" s="3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35"/>
      <c r="Y263" s="35"/>
      <c r="Z263" s="35"/>
      <c r="AA263" s="1"/>
      <c r="AB263" s="1"/>
      <c r="AC263" s="1"/>
      <c r="AD263" s="1"/>
      <c r="AE263" s="1"/>
      <c r="AF263" s="1"/>
      <c r="AG263" s="1"/>
      <c r="AH263" s="1"/>
      <c r="AI263" s="1"/>
    </row>
    <row r="264">
      <c r="A264" s="1"/>
      <c r="B264" s="3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35"/>
      <c r="Y264" s="35"/>
      <c r="Z264" s="35"/>
      <c r="AA264" s="1"/>
      <c r="AB264" s="1"/>
      <c r="AC264" s="1"/>
      <c r="AD264" s="1"/>
      <c r="AE264" s="1"/>
      <c r="AF264" s="1"/>
      <c r="AG264" s="1"/>
      <c r="AH264" s="1"/>
      <c r="AI264" s="1"/>
    </row>
    <row r="265">
      <c r="A265" s="1"/>
      <c r="B265" s="3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35"/>
      <c r="Y265" s="35"/>
      <c r="Z265" s="35"/>
      <c r="AA265" s="1"/>
      <c r="AB265" s="1"/>
      <c r="AC265" s="1"/>
      <c r="AD265" s="1"/>
      <c r="AE265" s="1"/>
      <c r="AF265" s="1"/>
      <c r="AG265" s="1"/>
      <c r="AH265" s="1"/>
      <c r="AI265" s="1"/>
    </row>
    <row r="266">
      <c r="A266" s="1"/>
      <c r="B266" s="3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35"/>
      <c r="Y266" s="35"/>
      <c r="Z266" s="35"/>
      <c r="AA266" s="1"/>
      <c r="AB266" s="1"/>
      <c r="AC266" s="1"/>
      <c r="AD266" s="1"/>
      <c r="AE266" s="1"/>
      <c r="AF266" s="1"/>
      <c r="AG266" s="1"/>
      <c r="AH266" s="1"/>
      <c r="AI266" s="1"/>
    </row>
    <row r="267">
      <c r="A267" s="1"/>
      <c r="B267" s="3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35"/>
      <c r="Y267" s="35"/>
      <c r="Z267" s="35"/>
      <c r="AA267" s="1"/>
      <c r="AB267" s="1"/>
      <c r="AC267" s="1"/>
      <c r="AD267" s="1"/>
      <c r="AE267" s="1"/>
      <c r="AF267" s="1"/>
      <c r="AG267" s="1"/>
      <c r="AH267" s="1"/>
      <c r="AI267" s="1"/>
    </row>
    <row r="268">
      <c r="A268" s="1"/>
      <c r="B268" s="3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35"/>
      <c r="Y268" s="35"/>
      <c r="Z268" s="35"/>
      <c r="AA268" s="1"/>
      <c r="AB268" s="1"/>
      <c r="AC268" s="1"/>
      <c r="AD268" s="1"/>
      <c r="AE268" s="1"/>
      <c r="AF268" s="1"/>
      <c r="AG268" s="1"/>
      <c r="AH268" s="1"/>
      <c r="AI268" s="1"/>
    </row>
    <row r="269">
      <c r="A269" s="1"/>
      <c r="B269" s="3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35"/>
      <c r="Y269" s="35"/>
      <c r="Z269" s="35"/>
      <c r="AA269" s="1"/>
      <c r="AB269" s="1"/>
      <c r="AC269" s="1"/>
      <c r="AD269" s="1"/>
      <c r="AE269" s="1"/>
      <c r="AF269" s="1"/>
      <c r="AG269" s="1"/>
      <c r="AH269" s="1"/>
      <c r="AI269" s="1"/>
    </row>
    <row r="270">
      <c r="A270" s="1"/>
      <c r="B270" s="3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35"/>
      <c r="Y270" s="35"/>
      <c r="Z270" s="35"/>
      <c r="AA270" s="1"/>
      <c r="AB270" s="1"/>
      <c r="AC270" s="1"/>
      <c r="AD270" s="1"/>
      <c r="AE270" s="1"/>
      <c r="AF270" s="1"/>
      <c r="AG270" s="1"/>
      <c r="AH270" s="1"/>
      <c r="AI270" s="1"/>
    </row>
    <row r="271">
      <c r="A271" s="1"/>
      <c r="B271" s="3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35"/>
      <c r="Y271" s="35"/>
      <c r="Z271" s="35"/>
      <c r="AA271" s="1"/>
      <c r="AB271" s="1"/>
      <c r="AC271" s="1"/>
      <c r="AD271" s="1"/>
      <c r="AE271" s="1"/>
      <c r="AF271" s="1"/>
      <c r="AG271" s="1"/>
      <c r="AH271" s="1"/>
      <c r="AI271" s="1"/>
    </row>
    <row r="272">
      <c r="A272" s="1"/>
      <c r="B272" s="3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35"/>
      <c r="Y272" s="35"/>
      <c r="Z272" s="35"/>
      <c r="AA272" s="1"/>
      <c r="AB272" s="1"/>
      <c r="AC272" s="1"/>
      <c r="AD272" s="1"/>
      <c r="AE272" s="1"/>
      <c r="AF272" s="1"/>
      <c r="AG272" s="1"/>
      <c r="AH272" s="1"/>
      <c r="AI272" s="1"/>
    </row>
    <row r="273">
      <c r="A273" s="1"/>
      <c r="B273" s="3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35"/>
      <c r="Y273" s="35"/>
      <c r="Z273" s="35"/>
      <c r="AA273" s="1"/>
      <c r="AB273" s="1"/>
      <c r="AC273" s="1"/>
      <c r="AD273" s="1"/>
      <c r="AE273" s="1"/>
      <c r="AF273" s="1"/>
      <c r="AG273" s="1"/>
      <c r="AH273" s="1"/>
      <c r="AI273" s="1"/>
    </row>
    <row r="274">
      <c r="A274" s="1"/>
      <c r="B274" s="3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35"/>
      <c r="Y274" s="35"/>
      <c r="Z274" s="35"/>
      <c r="AA274" s="1"/>
      <c r="AB274" s="1"/>
      <c r="AC274" s="1"/>
      <c r="AD274" s="1"/>
      <c r="AE274" s="1"/>
      <c r="AF274" s="1"/>
      <c r="AG274" s="1"/>
      <c r="AH274" s="1"/>
      <c r="AI274" s="1"/>
    </row>
    <row r="275">
      <c r="A275" s="1"/>
      <c r="B275" s="3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35"/>
      <c r="Y275" s="35"/>
      <c r="Z275" s="35"/>
      <c r="AA275" s="1"/>
      <c r="AB275" s="1"/>
      <c r="AC275" s="1"/>
      <c r="AD275" s="1"/>
      <c r="AE275" s="1"/>
      <c r="AF275" s="1"/>
      <c r="AG275" s="1"/>
      <c r="AH275" s="1"/>
      <c r="AI275" s="1"/>
    </row>
    <row r="276">
      <c r="A276" s="1"/>
      <c r="B276" s="3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35"/>
      <c r="Y276" s="35"/>
      <c r="Z276" s="35"/>
      <c r="AA276" s="1"/>
      <c r="AB276" s="1"/>
      <c r="AC276" s="1"/>
      <c r="AD276" s="1"/>
      <c r="AE276" s="1"/>
      <c r="AF276" s="1"/>
      <c r="AG276" s="1"/>
      <c r="AH276" s="1"/>
      <c r="AI276" s="1"/>
    </row>
    <row r="277">
      <c r="A277" s="1"/>
      <c r="B277" s="3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35"/>
      <c r="Y277" s="35"/>
      <c r="Z277" s="35"/>
      <c r="AA277" s="1"/>
      <c r="AB277" s="1"/>
      <c r="AC277" s="1"/>
      <c r="AD277" s="1"/>
      <c r="AE277" s="1"/>
      <c r="AF277" s="1"/>
      <c r="AG277" s="1"/>
      <c r="AH277" s="1"/>
      <c r="AI277" s="1"/>
    </row>
    <row r="278">
      <c r="A278" s="1"/>
      <c r="B278" s="3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35"/>
      <c r="Y278" s="35"/>
      <c r="Z278" s="35"/>
      <c r="AA278" s="1"/>
      <c r="AB278" s="1"/>
      <c r="AC278" s="1"/>
      <c r="AD278" s="1"/>
      <c r="AE278" s="1"/>
      <c r="AF278" s="1"/>
      <c r="AG278" s="1"/>
      <c r="AH278" s="1"/>
      <c r="AI278" s="1"/>
    </row>
    <row r="279">
      <c r="A279" s="1"/>
      <c r="B279" s="3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35"/>
      <c r="Y279" s="35"/>
      <c r="Z279" s="35"/>
      <c r="AA279" s="1"/>
      <c r="AB279" s="1"/>
      <c r="AC279" s="1"/>
      <c r="AD279" s="1"/>
      <c r="AE279" s="1"/>
      <c r="AF279" s="1"/>
      <c r="AG279" s="1"/>
      <c r="AH279" s="1"/>
      <c r="AI279" s="1"/>
    </row>
    <row r="280">
      <c r="A280" s="1"/>
      <c r="B280" s="3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35"/>
      <c r="Y280" s="35"/>
      <c r="Z280" s="35"/>
      <c r="AA280" s="1"/>
      <c r="AB280" s="1"/>
      <c r="AC280" s="1"/>
      <c r="AD280" s="1"/>
      <c r="AE280" s="1"/>
      <c r="AF280" s="1"/>
      <c r="AG280" s="1"/>
      <c r="AH280" s="1"/>
      <c r="AI280" s="1"/>
    </row>
    <row r="281">
      <c r="A281" s="1"/>
      <c r="B281" s="3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35"/>
      <c r="Y281" s="35"/>
      <c r="Z281" s="35"/>
      <c r="AA281" s="1"/>
      <c r="AB281" s="1"/>
      <c r="AC281" s="1"/>
      <c r="AD281" s="1"/>
      <c r="AE281" s="1"/>
      <c r="AF281" s="1"/>
      <c r="AG281" s="1"/>
      <c r="AH281" s="1"/>
      <c r="AI281" s="1"/>
    </row>
    <row r="282">
      <c r="A282" s="1"/>
      <c r="B282" s="3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35"/>
      <c r="Y282" s="35"/>
      <c r="Z282" s="35"/>
      <c r="AA282" s="1"/>
      <c r="AB282" s="1"/>
      <c r="AC282" s="1"/>
      <c r="AD282" s="1"/>
      <c r="AE282" s="1"/>
      <c r="AF282" s="1"/>
      <c r="AG282" s="1"/>
      <c r="AH282" s="1"/>
      <c r="AI282" s="1"/>
    </row>
    <row r="283">
      <c r="A283" s="1"/>
      <c r="B283" s="3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35"/>
      <c r="Y283" s="35"/>
      <c r="Z283" s="35"/>
      <c r="AA283" s="1"/>
      <c r="AB283" s="1"/>
      <c r="AC283" s="1"/>
      <c r="AD283" s="1"/>
      <c r="AE283" s="1"/>
      <c r="AF283" s="1"/>
      <c r="AG283" s="1"/>
      <c r="AH283" s="1"/>
      <c r="AI283" s="1"/>
    </row>
    <row r="284">
      <c r="A284" s="1"/>
      <c r="B284" s="3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35"/>
      <c r="Y284" s="35"/>
      <c r="Z284" s="35"/>
      <c r="AA284" s="1"/>
      <c r="AB284" s="1"/>
      <c r="AC284" s="1"/>
      <c r="AD284" s="1"/>
      <c r="AE284" s="1"/>
      <c r="AF284" s="1"/>
      <c r="AG284" s="1"/>
      <c r="AH284" s="1"/>
      <c r="AI284" s="1"/>
    </row>
    <row r="285">
      <c r="A285" s="1"/>
      <c r="B285" s="3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35"/>
      <c r="Y285" s="35"/>
      <c r="Z285" s="35"/>
      <c r="AA285" s="1"/>
      <c r="AB285" s="1"/>
      <c r="AC285" s="1"/>
      <c r="AD285" s="1"/>
      <c r="AE285" s="1"/>
      <c r="AF285" s="1"/>
      <c r="AG285" s="1"/>
      <c r="AH285" s="1"/>
      <c r="AI285" s="1"/>
    </row>
    <row r="286">
      <c r="A286" s="1"/>
      <c r="B286" s="3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35"/>
      <c r="Y286" s="35"/>
      <c r="Z286" s="35"/>
      <c r="AA286" s="1"/>
      <c r="AB286" s="1"/>
      <c r="AC286" s="1"/>
      <c r="AD286" s="1"/>
      <c r="AE286" s="1"/>
      <c r="AF286" s="1"/>
      <c r="AG286" s="1"/>
      <c r="AH286" s="1"/>
      <c r="AI286" s="1"/>
    </row>
    <row r="287">
      <c r="A287" s="1"/>
      <c r="B287" s="3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35"/>
      <c r="Y287" s="35"/>
      <c r="Z287" s="35"/>
      <c r="AA287" s="1"/>
      <c r="AB287" s="1"/>
      <c r="AC287" s="1"/>
      <c r="AD287" s="1"/>
      <c r="AE287" s="1"/>
      <c r="AF287" s="1"/>
      <c r="AG287" s="1"/>
      <c r="AH287" s="1"/>
      <c r="AI287" s="1"/>
    </row>
    <row r="288">
      <c r="A288" s="1"/>
      <c r="B288" s="3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35"/>
      <c r="Y288" s="35"/>
      <c r="Z288" s="35"/>
      <c r="AA288" s="1"/>
      <c r="AB288" s="1"/>
      <c r="AC288" s="1"/>
      <c r="AD288" s="1"/>
      <c r="AE288" s="1"/>
      <c r="AF288" s="1"/>
      <c r="AG288" s="1"/>
      <c r="AH288" s="1"/>
      <c r="AI288" s="1"/>
    </row>
    <row r="289">
      <c r="A289" s="1"/>
      <c r="B289" s="3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35"/>
      <c r="Y289" s="35"/>
      <c r="Z289" s="35"/>
      <c r="AA289" s="1"/>
      <c r="AB289" s="1"/>
      <c r="AC289" s="1"/>
      <c r="AD289" s="1"/>
      <c r="AE289" s="1"/>
      <c r="AF289" s="1"/>
      <c r="AG289" s="1"/>
      <c r="AH289" s="1"/>
      <c r="AI289" s="1"/>
    </row>
    <row r="290">
      <c r="A290" s="1"/>
      <c r="B290" s="3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35"/>
      <c r="Y290" s="35"/>
      <c r="Z290" s="35"/>
      <c r="AA290" s="1"/>
      <c r="AB290" s="1"/>
      <c r="AC290" s="1"/>
      <c r="AD290" s="1"/>
      <c r="AE290" s="1"/>
      <c r="AF290" s="1"/>
      <c r="AG290" s="1"/>
      <c r="AH290" s="1"/>
      <c r="AI290" s="1"/>
    </row>
    <row r="291">
      <c r="A291" s="1"/>
      <c r="B291" s="3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35"/>
      <c r="Y291" s="35"/>
      <c r="Z291" s="35"/>
      <c r="AA291" s="1"/>
      <c r="AB291" s="1"/>
      <c r="AC291" s="1"/>
      <c r="AD291" s="1"/>
      <c r="AE291" s="1"/>
      <c r="AF291" s="1"/>
      <c r="AG291" s="1"/>
      <c r="AH291" s="1"/>
      <c r="AI291" s="1"/>
    </row>
    <row r="292">
      <c r="A292" s="1"/>
      <c r="B292" s="3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35"/>
      <c r="Y292" s="35"/>
      <c r="Z292" s="35"/>
      <c r="AA292" s="1"/>
      <c r="AB292" s="1"/>
      <c r="AC292" s="1"/>
      <c r="AD292" s="1"/>
      <c r="AE292" s="1"/>
      <c r="AF292" s="1"/>
      <c r="AG292" s="1"/>
      <c r="AH292" s="1"/>
      <c r="AI292" s="1"/>
    </row>
    <row r="293">
      <c r="A293" s="1"/>
      <c r="B293" s="3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35"/>
      <c r="Y293" s="35"/>
      <c r="Z293" s="35"/>
      <c r="AA293" s="1"/>
      <c r="AB293" s="1"/>
      <c r="AC293" s="1"/>
      <c r="AD293" s="1"/>
      <c r="AE293" s="1"/>
      <c r="AF293" s="1"/>
      <c r="AG293" s="1"/>
      <c r="AH293" s="1"/>
      <c r="AI293" s="1"/>
    </row>
    <row r="294">
      <c r="A294" s="1"/>
      <c r="B294" s="3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35"/>
      <c r="Y294" s="35"/>
      <c r="Z294" s="35"/>
      <c r="AA294" s="1"/>
      <c r="AB294" s="1"/>
      <c r="AC294" s="1"/>
      <c r="AD294" s="1"/>
      <c r="AE294" s="1"/>
      <c r="AF294" s="1"/>
      <c r="AG294" s="1"/>
      <c r="AH294" s="1"/>
      <c r="AI294" s="1"/>
    </row>
    <row r="295">
      <c r="A295" s="1"/>
      <c r="B295" s="3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35"/>
      <c r="Y295" s="35"/>
      <c r="Z295" s="35"/>
      <c r="AA295" s="1"/>
      <c r="AB295" s="1"/>
      <c r="AC295" s="1"/>
      <c r="AD295" s="1"/>
      <c r="AE295" s="1"/>
      <c r="AF295" s="1"/>
      <c r="AG295" s="1"/>
      <c r="AH295" s="1"/>
      <c r="AI295" s="1"/>
    </row>
    <row r="296">
      <c r="A296" s="1"/>
      <c r="B296" s="3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35"/>
      <c r="Y296" s="35"/>
      <c r="Z296" s="35"/>
      <c r="AA296" s="1"/>
      <c r="AB296" s="1"/>
      <c r="AC296" s="1"/>
      <c r="AD296" s="1"/>
      <c r="AE296" s="1"/>
      <c r="AF296" s="1"/>
      <c r="AG296" s="1"/>
      <c r="AH296" s="1"/>
      <c r="AI296" s="1"/>
    </row>
    <row r="297">
      <c r="A297" s="1"/>
      <c r="B297" s="3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35"/>
      <c r="Y297" s="35"/>
      <c r="Z297" s="35"/>
      <c r="AA297" s="1"/>
      <c r="AB297" s="1"/>
      <c r="AC297" s="1"/>
      <c r="AD297" s="1"/>
      <c r="AE297" s="1"/>
      <c r="AF297" s="1"/>
      <c r="AG297" s="1"/>
      <c r="AH297" s="1"/>
      <c r="AI297" s="1"/>
    </row>
    <row r="298">
      <c r="A298" s="1"/>
      <c r="B298" s="3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35"/>
      <c r="Y298" s="35"/>
      <c r="Z298" s="35"/>
      <c r="AA298" s="1"/>
      <c r="AB298" s="1"/>
      <c r="AC298" s="1"/>
      <c r="AD298" s="1"/>
      <c r="AE298" s="1"/>
      <c r="AF298" s="1"/>
      <c r="AG298" s="1"/>
      <c r="AH298" s="1"/>
      <c r="AI298" s="1"/>
    </row>
    <row r="299">
      <c r="A299" s="1"/>
      <c r="B299" s="3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35"/>
      <c r="Y299" s="35"/>
      <c r="Z299" s="35"/>
      <c r="AA299" s="1"/>
      <c r="AB299" s="1"/>
      <c r="AC299" s="1"/>
      <c r="AD299" s="1"/>
      <c r="AE299" s="1"/>
      <c r="AF299" s="1"/>
      <c r="AG299" s="1"/>
      <c r="AH299" s="1"/>
      <c r="AI299" s="1"/>
    </row>
    <row r="300">
      <c r="A300" s="1"/>
      <c r="B300" s="3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35"/>
      <c r="Y300" s="35"/>
      <c r="Z300" s="35"/>
      <c r="AA300" s="1"/>
      <c r="AB300" s="1"/>
      <c r="AC300" s="1"/>
      <c r="AD300" s="1"/>
      <c r="AE300" s="1"/>
      <c r="AF300" s="1"/>
      <c r="AG300" s="1"/>
      <c r="AH300" s="1"/>
      <c r="AI300" s="1"/>
    </row>
    <row r="301">
      <c r="A301" s="1"/>
      <c r="B301" s="3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35"/>
      <c r="Y301" s="35"/>
      <c r="Z301" s="35"/>
      <c r="AA301" s="1"/>
      <c r="AB301" s="1"/>
      <c r="AC301" s="1"/>
      <c r="AD301" s="1"/>
      <c r="AE301" s="1"/>
      <c r="AF301" s="1"/>
      <c r="AG301" s="1"/>
      <c r="AH301" s="1"/>
      <c r="AI301" s="1"/>
    </row>
    <row r="302">
      <c r="A302" s="1"/>
      <c r="B302" s="3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35"/>
      <c r="Y302" s="35"/>
      <c r="Z302" s="35"/>
      <c r="AA302" s="1"/>
      <c r="AB302" s="1"/>
      <c r="AC302" s="1"/>
      <c r="AD302" s="1"/>
      <c r="AE302" s="1"/>
      <c r="AF302" s="1"/>
      <c r="AG302" s="1"/>
      <c r="AH302" s="1"/>
      <c r="AI302" s="1"/>
    </row>
    <row r="303">
      <c r="A303" s="1"/>
      <c r="B303" s="3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35"/>
      <c r="Y303" s="35"/>
      <c r="Z303" s="35"/>
      <c r="AA303" s="1"/>
      <c r="AB303" s="1"/>
      <c r="AC303" s="1"/>
      <c r="AD303" s="1"/>
      <c r="AE303" s="1"/>
      <c r="AF303" s="1"/>
      <c r="AG303" s="1"/>
      <c r="AH303" s="1"/>
      <c r="AI303" s="1"/>
    </row>
    <row r="304">
      <c r="A304" s="1"/>
      <c r="B304" s="3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35"/>
      <c r="Y304" s="35"/>
      <c r="Z304" s="35"/>
      <c r="AA304" s="1"/>
      <c r="AB304" s="1"/>
      <c r="AC304" s="1"/>
      <c r="AD304" s="1"/>
      <c r="AE304" s="1"/>
      <c r="AF304" s="1"/>
      <c r="AG304" s="1"/>
      <c r="AH304" s="1"/>
      <c r="AI304" s="1"/>
    </row>
    <row r="305">
      <c r="A305" s="1"/>
      <c r="B305" s="3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35"/>
      <c r="Y305" s="35"/>
      <c r="Z305" s="35"/>
      <c r="AA305" s="1"/>
      <c r="AB305" s="1"/>
      <c r="AC305" s="1"/>
      <c r="AD305" s="1"/>
      <c r="AE305" s="1"/>
      <c r="AF305" s="1"/>
      <c r="AG305" s="1"/>
      <c r="AH305" s="1"/>
      <c r="AI305" s="1"/>
    </row>
    <row r="306">
      <c r="A306" s="1"/>
      <c r="B306" s="3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35"/>
      <c r="Y306" s="35"/>
      <c r="Z306" s="35"/>
      <c r="AA306" s="1"/>
      <c r="AB306" s="1"/>
      <c r="AC306" s="1"/>
      <c r="AD306" s="1"/>
      <c r="AE306" s="1"/>
      <c r="AF306" s="1"/>
      <c r="AG306" s="1"/>
      <c r="AH306" s="1"/>
      <c r="AI306" s="1"/>
    </row>
    <row r="307">
      <c r="A307" s="1"/>
      <c r="B307" s="3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35"/>
      <c r="Y307" s="35"/>
      <c r="Z307" s="35"/>
      <c r="AA307" s="1"/>
      <c r="AB307" s="1"/>
      <c r="AC307" s="1"/>
      <c r="AD307" s="1"/>
      <c r="AE307" s="1"/>
      <c r="AF307" s="1"/>
      <c r="AG307" s="1"/>
      <c r="AH307" s="1"/>
      <c r="AI307" s="1"/>
    </row>
    <row r="308">
      <c r="A308" s="1"/>
      <c r="B308" s="3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35"/>
      <c r="Y308" s="35"/>
      <c r="Z308" s="35"/>
      <c r="AA308" s="1"/>
      <c r="AB308" s="1"/>
      <c r="AC308" s="1"/>
      <c r="AD308" s="1"/>
      <c r="AE308" s="1"/>
      <c r="AF308" s="1"/>
      <c r="AG308" s="1"/>
      <c r="AH308" s="1"/>
      <c r="AI308" s="1"/>
    </row>
    <row r="309">
      <c r="A309" s="1"/>
      <c r="B309" s="3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35"/>
      <c r="Y309" s="35"/>
      <c r="Z309" s="35"/>
      <c r="AA309" s="1"/>
      <c r="AB309" s="1"/>
      <c r="AC309" s="1"/>
      <c r="AD309" s="1"/>
      <c r="AE309" s="1"/>
      <c r="AF309" s="1"/>
      <c r="AG309" s="1"/>
      <c r="AH309" s="1"/>
      <c r="AI309" s="1"/>
    </row>
    <row r="310">
      <c r="A310" s="1"/>
      <c r="B310" s="3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35"/>
      <c r="Y310" s="35"/>
      <c r="Z310" s="35"/>
      <c r="AA310" s="1"/>
      <c r="AB310" s="1"/>
      <c r="AC310" s="1"/>
      <c r="AD310" s="1"/>
      <c r="AE310" s="1"/>
      <c r="AF310" s="1"/>
      <c r="AG310" s="1"/>
      <c r="AH310" s="1"/>
      <c r="AI310" s="1"/>
    </row>
    <row r="311">
      <c r="A311" s="1"/>
      <c r="B311" s="3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35"/>
      <c r="Y311" s="35"/>
      <c r="Z311" s="35"/>
      <c r="AA311" s="1"/>
      <c r="AB311" s="1"/>
      <c r="AC311" s="1"/>
      <c r="AD311" s="1"/>
      <c r="AE311" s="1"/>
      <c r="AF311" s="1"/>
      <c r="AG311" s="1"/>
      <c r="AH311" s="1"/>
      <c r="AI311" s="1"/>
    </row>
    <row r="312">
      <c r="A312" s="1"/>
      <c r="B312" s="3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35"/>
      <c r="Y312" s="35"/>
      <c r="Z312" s="35"/>
      <c r="AA312" s="1"/>
      <c r="AB312" s="1"/>
      <c r="AC312" s="1"/>
      <c r="AD312" s="1"/>
      <c r="AE312" s="1"/>
      <c r="AF312" s="1"/>
      <c r="AG312" s="1"/>
      <c r="AH312" s="1"/>
      <c r="AI312" s="1"/>
    </row>
    <row r="313">
      <c r="A313" s="1"/>
      <c r="B313" s="3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35"/>
      <c r="Y313" s="35"/>
      <c r="Z313" s="35"/>
      <c r="AA313" s="1"/>
      <c r="AB313" s="1"/>
      <c r="AC313" s="1"/>
      <c r="AD313" s="1"/>
      <c r="AE313" s="1"/>
      <c r="AF313" s="1"/>
      <c r="AG313" s="1"/>
      <c r="AH313" s="1"/>
      <c r="AI313" s="1"/>
    </row>
    <row r="314">
      <c r="A314" s="1"/>
      <c r="B314" s="3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35"/>
      <c r="Y314" s="35"/>
      <c r="Z314" s="35"/>
      <c r="AA314" s="1"/>
      <c r="AB314" s="1"/>
      <c r="AC314" s="1"/>
      <c r="AD314" s="1"/>
      <c r="AE314" s="1"/>
      <c r="AF314" s="1"/>
      <c r="AG314" s="1"/>
      <c r="AH314" s="1"/>
      <c r="AI314" s="1"/>
    </row>
    <row r="315">
      <c r="A315" s="1"/>
      <c r="B315" s="3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35"/>
      <c r="Y315" s="35"/>
      <c r="Z315" s="35"/>
      <c r="AA315" s="1"/>
      <c r="AB315" s="1"/>
      <c r="AC315" s="1"/>
      <c r="AD315" s="1"/>
      <c r="AE315" s="1"/>
      <c r="AF315" s="1"/>
      <c r="AG315" s="1"/>
      <c r="AH315" s="1"/>
      <c r="AI315" s="1"/>
    </row>
    <row r="316">
      <c r="A316" s="1"/>
      <c r="B316" s="3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35"/>
      <c r="Y316" s="35"/>
      <c r="Z316" s="35"/>
      <c r="AA316" s="1"/>
      <c r="AB316" s="1"/>
      <c r="AC316" s="1"/>
      <c r="AD316" s="1"/>
      <c r="AE316" s="1"/>
      <c r="AF316" s="1"/>
      <c r="AG316" s="1"/>
      <c r="AH316" s="1"/>
      <c r="AI316" s="1"/>
    </row>
    <row r="317">
      <c r="A317" s="1"/>
      <c r="B317" s="3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35"/>
      <c r="Y317" s="35"/>
      <c r="Z317" s="35"/>
      <c r="AA317" s="1"/>
      <c r="AB317" s="1"/>
      <c r="AC317" s="1"/>
      <c r="AD317" s="1"/>
      <c r="AE317" s="1"/>
      <c r="AF317" s="1"/>
      <c r="AG317" s="1"/>
      <c r="AH317" s="1"/>
      <c r="AI317" s="1"/>
    </row>
    <row r="318">
      <c r="A318" s="1"/>
      <c r="B318" s="3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35"/>
      <c r="Y318" s="35"/>
      <c r="Z318" s="35"/>
      <c r="AA318" s="1"/>
      <c r="AB318" s="1"/>
      <c r="AC318" s="1"/>
      <c r="AD318" s="1"/>
      <c r="AE318" s="1"/>
      <c r="AF318" s="1"/>
      <c r="AG318" s="1"/>
      <c r="AH318" s="1"/>
      <c r="AI318" s="1"/>
    </row>
    <row r="319">
      <c r="A319" s="1"/>
      <c r="B319" s="3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35"/>
      <c r="Y319" s="35"/>
      <c r="Z319" s="35"/>
      <c r="AA319" s="1"/>
      <c r="AB319" s="1"/>
      <c r="AC319" s="1"/>
      <c r="AD319" s="1"/>
      <c r="AE319" s="1"/>
      <c r="AF319" s="1"/>
      <c r="AG319" s="1"/>
      <c r="AH319" s="1"/>
      <c r="AI319" s="1"/>
    </row>
    <row r="320">
      <c r="A320" s="1"/>
      <c r="B320" s="3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35"/>
      <c r="Y320" s="35"/>
      <c r="Z320" s="35"/>
      <c r="AA320" s="1"/>
      <c r="AB320" s="1"/>
      <c r="AC320" s="1"/>
      <c r="AD320" s="1"/>
      <c r="AE320" s="1"/>
      <c r="AF320" s="1"/>
      <c r="AG320" s="1"/>
      <c r="AH320" s="1"/>
      <c r="AI320" s="1"/>
    </row>
    <row r="321">
      <c r="A321" s="1"/>
      <c r="B321" s="3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35"/>
      <c r="Y321" s="35"/>
      <c r="Z321" s="35"/>
      <c r="AA321" s="1"/>
      <c r="AB321" s="1"/>
      <c r="AC321" s="1"/>
      <c r="AD321" s="1"/>
      <c r="AE321" s="1"/>
      <c r="AF321" s="1"/>
      <c r="AG321" s="1"/>
      <c r="AH321" s="1"/>
      <c r="AI321" s="1"/>
    </row>
    <row r="322">
      <c r="A322" s="1"/>
      <c r="B322" s="3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35"/>
      <c r="Y322" s="35"/>
      <c r="Z322" s="35"/>
      <c r="AA322" s="1"/>
      <c r="AB322" s="1"/>
      <c r="AC322" s="1"/>
      <c r="AD322" s="1"/>
      <c r="AE322" s="1"/>
      <c r="AF322" s="1"/>
      <c r="AG322" s="1"/>
      <c r="AH322" s="1"/>
      <c r="AI322" s="1"/>
    </row>
    <row r="323">
      <c r="A323" s="1"/>
      <c r="B323" s="3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35"/>
      <c r="Y323" s="35"/>
      <c r="Z323" s="35"/>
      <c r="AA323" s="1"/>
      <c r="AB323" s="1"/>
      <c r="AC323" s="1"/>
      <c r="AD323" s="1"/>
      <c r="AE323" s="1"/>
      <c r="AF323" s="1"/>
      <c r="AG323" s="1"/>
      <c r="AH323" s="1"/>
      <c r="AI323" s="1"/>
    </row>
    <row r="324">
      <c r="A324" s="1"/>
      <c r="B324" s="3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35"/>
      <c r="Y324" s="35"/>
      <c r="Z324" s="35"/>
      <c r="AA324" s="1"/>
      <c r="AB324" s="1"/>
      <c r="AC324" s="1"/>
      <c r="AD324" s="1"/>
      <c r="AE324" s="1"/>
      <c r="AF324" s="1"/>
      <c r="AG324" s="1"/>
      <c r="AH324" s="1"/>
      <c r="AI324" s="1"/>
    </row>
    <row r="325">
      <c r="A325" s="1"/>
      <c r="B325" s="3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35"/>
      <c r="Y325" s="35"/>
      <c r="Z325" s="35"/>
      <c r="AA325" s="1"/>
      <c r="AB325" s="1"/>
      <c r="AC325" s="1"/>
      <c r="AD325" s="1"/>
      <c r="AE325" s="1"/>
      <c r="AF325" s="1"/>
      <c r="AG325" s="1"/>
      <c r="AH325" s="1"/>
      <c r="AI325" s="1"/>
    </row>
    <row r="326">
      <c r="A326" s="1"/>
      <c r="B326" s="3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35"/>
      <c r="Y326" s="35"/>
      <c r="Z326" s="35"/>
      <c r="AA326" s="1"/>
      <c r="AB326" s="1"/>
      <c r="AC326" s="1"/>
      <c r="AD326" s="1"/>
      <c r="AE326" s="1"/>
      <c r="AF326" s="1"/>
      <c r="AG326" s="1"/>
      <c r="AH326" s="1"/>
      <c r="AI326" s="1"/>
    </row>
    <row r="327">
      <c r="A327" s="1"/>
      <c r="B327" s="3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35"/>
      <c r="Y327" s="35"/>
      <c r="Z327" s="35"/>
      <c r="AA327" s="1"/>
      <c r="AB327" s="1"/>
      <c r="AC327" s="1"/>
      <c r="AD327" s="1"/>
      <c r="AE327" s="1"/>
      <c r="AF327" s="1"/>
      <c r="AG327" s="1"/>
      <c r="AH327" s="1"/>
      <c r="AI327" s="1"/>
    </row>
    <row r="328">
      <c r="A328" s="1"/>
      <c r="B328" s="3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35"/>
      <c r="Y328" s="35"/>
      <c r="Z328" s="35"/>
      <c r="AA328" s="1"/>
      <c r="AB328" s="1"/>
      <c r="AC328" s="1"/>
      <c r="AD328" s="1"/>
      <c r="AE328" s="1"/>
      <c r="AF328" s="1"/>
      <c r="AG328" s="1"/>
      <c r="AH328" s="1"/>
      <c r="AI328" s="1"/>
    </row>
    <row r="329">
      <c r="A329" s="1"/>
      <c r="B329" s="3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35"/>
      <c r="Y329" s="35"/>
      <c r="Z329" s="35"/>
      <c r="AA329" s="1"/>
      <c r="AB329" s="1"/>
      <c r="AC329" s="1"/>
      <c r="AD329" s="1"/>
      <c r="AE329" s="1"/>
      <c r="AF329" s="1"/>
      <c r="AG329" s="1"/>
      <c r="AH329" s="1"/>
      <c r="AI329" s="1"/>
    </row>
    <row r="330">
      <c r="A330" s="1"/>
      <c r="B330" s="3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35"/>
      <c r="Y330" s="35"/>
      <c r="Z330" s="35"/>
      <c r="AA330" s="1"/>
      <c r="AB330" s="1"/>
      <c r="AC330" s="1"/>
      <c r="AD330" s="1"/>
      <c r="AE330" s="1"/>
      <c r="AF330" s="1"/>
      <c r="AG330" s="1"/>
      <c r="AH330" s="1"/>
      <c r="AI330" s="1"/>
    </row>
    <row r="331">
      <c r="A331" s="1"/>
      <c r="B331" s="3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35"/>
      <c r="Y331" s="35"/>
      <c r="Z331" s="35"/>
      <c r="AA331" s="1"/>
      <c r="AB331" s="1"/>
      <c r="AC331" s="1"/>
      <c r="AD331" s="1"/>
      <c r="AE331" s="1"/>
      <c r="AF331" s="1"/>
      <c r="AG331" s="1"/>
      <c r="AH331" s="1"/>
      <c r="AI331" s="1"/>
    </row>
    <row r="332">
      <c r="A332" s="1"/>
      <c r="B332" s="3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35"/>
      <c r="Y332" s="35"/>
      <c r="Z332" s="35"/>
      <c r="AA332" s="1"/>
      <c r="AB332" s="1"/>
      <c r="AC332" s="1"/>
      <c r="AD332" s="1"/>
      <c r="AE332" s="1"/>
      <c r="AF332" s="1"/>
      <c r="AG332" s="1"/>
      <c r="AH332" s="1"/>
      <c r="AI332" s="1"/>
    </row>
    <row r="333">
      <c r="A333" s="1"/>
      <c r="B333" s="3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35"/>
      <c r="Y333" s="35"/>
      <c r="Z333" s="35"/>
      <c r="AA333" s="1"/>
      <c r="AB333" s="1"/>
      <c r="AC333" s="1"/>
      <c r="AD333" s="1"/>
      <c r="AE333" s="1"/>
      <c r="AF333" s="1"/>
      <c r="AG333" s="1"/>
      <c r="AH333" s="1"/>
      <c r="AI333" s="1"/>
    </row>
    <row r="334">
      <c r="A334" s="1"/>
      <c r="B334" s="3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35"/>
      <c r="Y334" s="35"/>
      <c r="Z334" s="35"/>
      <c r="AA334" s="1"/>
      <c r="AB334" s="1"/>
      <c r="AC334" s="1"/>
      <c r="AD334" s="1"/>
      <c r="AE334" s="1"/>
      <c r="AF334" s="1"/>
      <c r="AG334" s="1"/>
      <c r="AH334" s="1"/>
      <c r="AI334" s="1"/>
    </row>
    <row r="335">
      <c r="A335" s="1"/>
      <c r="B335" s="3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35"/>
      <c r="Y335" s="35"/>
      <c r="Z335" s="35"/>
      <c r="AA335" s="1"/>
      <c r="AB335" s="1"/>
      <c r="AC335" s="1"/>
      <c r="AD335" s="1"/>
      <c r="AE335" s="1"/>
      <c r="AF335" s="1"/>
      <c r="AG335" s="1"/>
      <c r="AH335" s="1"/>
      <c r="AI335" s="1"/>
    </row>
    <row r="336">
      <c r="A336" s="1"/>
      <c r="B336" s="3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35"/>
      <c r="Y336" s="35"/>
      <c r="Z336" s="35"/>
      <c r="AA336" s="1"/>
      <c r="AB336" s="1"/>
      <c r="AC336" s="1"/>
      <c r="AD336" s="1"/>
      <c r="AE336" s="1"/>
      <c r="AF336" s="1"/>
      <c r="AG336" s="1"/>
      <c r="AH336" s="1"/>
      <c r="AI336" s="1"/>
    </row>
    <row r="337">
      <c r="A337" s="1"/>
      <c r="B337" s="3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35"/>
      <c r="Y337" s="35"/>
      <c r="Z337" s="35"/>
      <c r="AA337" s="1"/>
      <c r="AB337" s="1"/>
      <c r="AC337" s="1"/>
      <c r="AD337" s="1"/>
      <c r="AE337" s="1"/>
      <c r="AF337" s="1"/>
      <c r="AG337" s="1"/>
      <c r="AH337" s="1"/>
      <c r="AI337" s="1"/>
    </row>
    <row r="338">
      <c r="A338" s="1"/>
      <c r="B338" s="3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35"/>
      <c r="Y338" s="35"/>
      <c r="Z338" s="35"/>
      <c r="AA338" s="1"/>
      <c r="AB338" s="1"/>
      <c r="AC338" s="1"/>
      <c r="AD338" s="1"/>
      <c r="AE338" s="1"/>
      <c r="AF338" s="1"/>
      <c r="AG338" s="1"/>
      <c r="AH338" s="1"/>
      <c r="AI338" s="1"/>
    </row>
    <row r="339">
      <c r="A339" s="1"/>
      <c r="B339" s="3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35"/>
      <c r="Y339" s="35"/>
      <c r="Z339" s="35"/>
      <c r="AA339" s="1"/>
      <c r="AB339" s="1"/>
      <c r="AC339" s="1"/>
      <c r="AD339" s="1"/>
      <c r="AE339" s="1"/>
      <c r="AF339" s="1"/>
      <c r="AG339" s="1"/>
      <c r="AH339" s="1"/>
      <c r="AI339" s="1"/>
    </row>
    <row r="340">
      <c r="A340" s="1"/>
      <c r="B340" s="3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35"/>
      <c r="Y340" s="35"/>
      <c r="Z340" s="35"/>
      <c r="AA340" s="1"/>
      <c r="AB340" s="1"/>
      <c r="AC340" s="1"/>
      <c r="AD340" s="1"/>
      <c r="AE340" s="1"/>
      <c r="AF340" s="1"/>
      <c r="AG340" s="1"/>
      <c r="AH340" s="1"/>
      <c r="AI340" s="1"/>
    </row>
    <row r="341">
      <c r="A341" s="1"/>
      <c r="B341" s="3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35"/>
      <c r="Y341" s="35"/>
      <c r="Z341" s="35"/>
      <c r="AA341" s="1"/>
      <c r="AB341" s="1"/>
      <c r="AC341" s="1"/>
      <c r="AD341" s="1"/>
      <c r="AE341" s="1"/>
      <c r="AF341" s="1"/>
      <c r="AG341" s="1"/>
      <c r="AH341" s="1"/>
      <c r="AI341" s="1"/>
    </row>
    <row r="342">
      <c r="A342" s="1"/>
      <c r="B342" s="3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35"/>
      <c r="Y342" s="35"/>
      <c r="Z342" s="35"/>
      <c r="AA342" s="1"/>
      <c r="AB342" s="1"/>
      <c r="AC342" s="1"/>
      <c r="AD342" s="1"/>
      <c r="AE342" s="1"/>
      <c r="AF342" s="1"/>
      <c r="AG342" s="1"/>
      <c r="AH342" s="1"/>
      <c r="AI342" s="1"/>
    </row>
    <row r="343">
      <c r="A343" s="1"/>
      <c r="B343" s="3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35"/>
      <c r="Y343" s="35"/>
      <c r="Z343" s="35"/>
      <c r="AA343" s="1"/>
      <c r="AB343" s="1"/>
      <c r="AC343" s="1"/>
      <c r="AD343" s="1"/>
      <c r="AE343" s="1"/>
      <c r="AF343" s="1"/>
      <c r="AG343" s="1"/>
      <c r="AH343" s="1"/>
      <c r="AI343" s="1"/>
    </row>
    <row r="344">
      <c r="A344" s="1"/>
      <c r="B344" s="3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35"/>
      <c r="Y344" s="35"/>
      <c r="Z344" s="35"/>
      <c r="AA344" s="1"/>
      <c r="AB344" s="1"/>
      <c r="AC344" s="1"/>
      <c r="AD344" s="1"/>
      <c r="AE344" s="1"/>
      <c r="AF344" s="1"/>
      <c r="AG344" s="1"/>
      <c r="AH344" s="1"/>
      <c r="AI344" s="1"/>
    </row>
    <row r="345">
      <c r="A345" s="1"/>
      <c r="B345" s="3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35"/>
      <c r="Y345" s="35"/>
      <c r="Z345" s="35"/>
      <c r="AA345" s="1"/>
      <c r="AB345" s="1"/>
      <c r="AC345" s="1"/>
      <c r="AD345" s="1"/>
      <c r="AE345" s="1"/>
      <c r="AF345" s="1"/>
      <c r="AG345" s="1"/>
      <c r="AH345" s="1"/>
      <c r="AI345" s="1"/>
    </row>
    <row r="346">
      <c r="A346" s="1"/>
      <c r="B346" s="3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35"/>
      <c r="Y346" s="35"/>
      <c r="Z346" s="35"/>
      <c r="AA346" s="1"/>
      <c r="AB346" s="1"/>
      <c r="AC346" s="1"/>
      <c r="AD346" s="1"/>
      <c r="AE346" s="1"/>
      <c r="AF346" s="1"/>
      <c r="AG346" s="1"/>
      <c r="AH346" s="1"/>
      <c r="AI346" s="1"/>
    </row>
    <row r="347">
      <c r="A347" s="1"/>
      <c r="B347" s="3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35"/>
      <c r="Y347" s="35"/>
      <c r="Z347" s="35"/>
      <c r="AA347" s="1"/>
      <c r="AB347" s="1"/>
      <c r="AC347" s="1"/>
      <c r="AD347" s="1"/>
      <c r="AE347" s="1"/>
      <c r="AF347" s="1"/>
      <c r="AG347" s="1"/>
      <c r="AH347" s="1"/>
      <c r="AI347" s="1"/>
    </row>
    <row r="348">
      <c r="A348" s="1"/>
      <c r="B348" s="3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35"/>
      <c r="Y348" s="35"/>
      <c r="Z348" s="35"/>
      <c r="AA348" s="1"/>
      <c r="AB348" s="1"/>
      <c r="AC348" s="1"/>
      <c r="AD348" s="1"/>
      <c r="AE348" s="1"/>
      <c r="AF348" s="1"/>
      <c r="AG348" s="1"/>
      <c r="AH348" s="1"/>
      <c r="AI348" s="1"/>
    </row>
    <row r="349">
      <c r="A349" s="1"/>
      <c r="B349" s="3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35"/>
      <c r="Y349" s="35"/>
      <c r="Z349" s="35"/>
      <c r="AA349" s="1"/>
      <c r="AB349" s="1"/>
      <c r="AC349" s="1"/>
      <c r="AD349" s="1"/>
      <c r="AE349" s="1"/>
      <c r="AF349" s="1"/>
      <c r="AG349" s="1"/>
      <c r="AH349" s="1"/>
      <c r="AI349" s="1"/>
    </row>
    <row r="350">
      <c r="A350" s="1"/>
      <c r="B350" s="3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35"/>
      <c r="Y350" s="35"/>
      <c r="Z350" s="35"/>
      <c r="AA350" s="1"/>
      <c r="AB350" s="1"/>
      <c r="AC350" s="1"/>
      <c r="AD350" s="1"/>
      <c r="AE350" s="1"/>
      <c r="AF350" s="1"/>
      <c r="AG350" s="1"/>
      <c r="AH350" s="1"/>
      <c r="AI350" s="1"/>
    </row>
    <row r="351">
      <c r="A351" s="1"/>
      <c r="B351" s="3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35"/>
      <c r="Y351" s="35"/>
      <c r="Z351" s="35"/>
      <c r="AA351" s="1"/>
      <c r="AB351" s="1"/>
      <c r="AC351" s="1"/>
      <c r="AD351" s="1"/>
      <c r="AE351" s="1"/>
      <c r="AF351" s="1"/>
      <c r="AG351" s="1"/>
      <c r="AH351" s="1"/>
      <c r="AI351" s="1"/>
    </row>
    <row r="352">
      <c r="A352" s="1"/>
      <c r="B352" s="3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35"/>
      <c r="Y352" s="35"/>
      <c r="Z352" s="35"/>
      <c r="AA352" s="1"/>
      <c r="AB352" s="1"/>
      <c r="AC352" s="1"/>
      <c r="AD352" s="1"/>
      <c r="AE352" s="1"/>
      <c r="AF352" s="1"/>
      <c r="AG352" s="1"/>
      <c r="AH352" s="1"/>
      <c r="AI352" s="1"/>
    </row>
    <row r="353">
      <c r="A353" s="1"/>
      <c r="B353" s="3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35"/>
      <c r="Y353" s="35"/>
      <c r="Z353" s="35"/>
      <c r="AA353" s="1"/>
      <c r="AB353" s="1"/>
      <c r="AC353" s="1"/>
      <c r="AD353" s="1"/>
      <c r="AE353" s="1"/>
      <c r="AF353" s="1"/>
      <c r="AG353" s="1"/>
      <c r="AH353" s="1"/>
      <c r="AI353" s="1"/>
    </row>
    <row r="354">
      <c r="A354" s="1"/>
      <c r="B354" s="3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35"/>
      <c r="Y354" s="35"/>
      <c r="Z354" s="35"/>
      <c r="AA354" s="1"/>
      <c r="AB354" s="1"/>
      <c r="AC354" s="1"/>
      <c r="AD354" s="1"/>
      <c r="AE354" s="1"/>
      <c r="AF354" s="1"/>
      <c r="AG354" s="1"/>
      <c r="AH354" s="1"/>
      <c r="AI354" s="1"/>
    </row>
    <row r="355">
      <c r="A355" s="1"/>
      <c r="B355" s="3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35"/>
      <c r="Y355" s="35"/>
      <c r="Z355" s="35"/>
      <c r="AA355" s="1"/>
      <c r="AB355" s="1"/>
      <c r="AC355" s="1"/>
      <c r="AD355" s="1"/>
      <c r="AE355" s="1"/>
      <c r="AF355" s="1"/>
      <c r="AG355" s="1"/>
      <c r="AH355" s="1"/>
      <c r="AI355" s="1"/>
    </row>
    <row r="356">
      <c r="A356" s="1"/>
      <c r="B356" s="3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35"/>
      <c r="Y356" s="35"/>
      <c r="Z356" s="35"/>
      <c r="AA356" s="1"/>
      <c r="AB356" s="1"/>
      <c r="AC356" s="1"/>
      <c r="AD356" s="1"/>
      <c r="AE356" s="1"/>
      <c r="AF356" s="1"/>
      <c r="AG356" s="1"/>
      <c r="AH356" s="1"/>
      <c r="AI356" s="1"/>
    </row>
    <row r="357">
      <c r="A357" s="1"/>
      <c r="B357" s="3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35"/>
      <c r="Y357" s="35"/>
      <c r="Z357" s="35"/>
      <c r="AA357" s="1"/>
      <c r="AB357" s="1"/>
      <c r="AC357" s="1"/>
      <c r="AD357" s="1"/>
      <c r="AE357" s="1"/>
      <c r="AF357" s="1"/>
      <c r="AG357" s="1"/>
      <c r="AH357" s="1"/>
      <c r="AI357" s="1"/>
    </row>
    <row r="358">
      <c r="A358" s="1"/>
      <c r="B358" s="3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35"/>
      <c r="Y358" s="35"/>
      <c r="Z358" s="35"/>
      <c r="AA358" s="1"/>
      <c r="AB358" s="1"/>
      <c r="AC358" s="1"/>
      <c r="AD358" s="1"/>
      <c r="AE358" s="1"/>
      <c r="AF358" s="1"/>
      <c r="AG358" s="1"/>
      <c r="AH358" s="1"/>
      <c r="AI358" s="1"/>
    </row>
    <row r="359">
      <c r="A359" s="1"/>
      <c r="B359" s="3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35"/>
      <c r="Y359" s="35"/>
      <c r="Z359" s="35"/>
      <c r="AA359" s="1"/>
      <c r="AB359" s="1"/>
      <c r="AC359" s="1"/>
      <c r="AD359" s="1"/>
      <c r="AE359" s="1"/>
      <c r="AF359" s="1"/>
      <c r="AG359" s="1"/>
      <c r="AH359" s="1"/>
      <c r="AI359" s="1"/>
    </row>
    <row r="360">
      <c r="A360" s="1"/>
      <c r="B360" s="3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35"/>
      <c r="Y360" s="35"/>
      <c r="Z360" s="35"/>
      <c r="AA360" s="1"/>
      <c r="AB360" s="1"/>
      <c r="AC360" s="1"/>
      <c r="AD360" s="1"/>
      <c r="AE360" s="1"/>
      <c r="AF360" s="1"/>
      <c r="AG360" s="1"/>
      <c r="AH360" s="1"/>
      <c r="AI360" s="1"/>
    </row>
    <row r="361">
      <c r="A361" s="1"/>
      <c r="B361" s="3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35"/>
      <c r="Y361" s="35"/>
      <c r="Z361" s="35"/>
      <c r="AA361" s="1"/>
      <c r="AB361" s="1"/>
      <c r="AC361" s="1"/>
      <c r="AD361" s="1"/>
      <c r="AE361" s="1"/>
      <c r="AF361" s="1"/>
      <c r="AG361" s="1"/>
      <c r="AH361" s="1"/>
      <c r="AI361" s="1"/>
    </row>
    <row r="362">
      <c r="A362" s="1"/>
      <c r="B362" s="3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35"/>
      <c r="Y362" s="35"/>
      <c r="Z362" s="35"/>
      <c r="AA362" s="1"/>
      <c r="AB362" s="1"/>
      <c r="AC362" s="1"/>
      <c r="AD362" s="1"/>
      <c r="AE362" s="1"/>
      <c r="AF362" s="1"/>
      <c r="AG362" s="1"/>
      <c r="AH362" s="1"/>
      <c r="AI362" s="1"/>
    </row>
    <row r="363">
      <c r="A363" s="1"/>
      <c r="B363" s="3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35"/>
      <c r="Y363" s="35"/>
      <c r="Z363" s="35"/>
      <c r="AA363" s="1"/>
      <c r="AB363" s="1"/>
      <c r="AC363" s="1"/>
      <c r="AD363" s="1"/>
      <c r="AE363" s="1"/>
      <c r="AF363" s="1"/>
      <c r="AG363" s="1"/>
      <c r="AH363" s="1"/>
      <c r="AI363" s="1"/>
    </row>
    <row r="364">
      <c r="A364" s="1"/>
      <c r="B364" s="3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35"/>
      <c r="Y364" s="35"/>
      <c r="Z364" s="35"/>
      <c r="AA364" s="1"/>
      <c r="AB364" s="1"/>
      <c r="AC364" s="1"/>
      <c r="AD364" s="1"/>
      <c r="AE364" s="1"/>
      <c r="AF364" s="1"/>
      <c r="AG364" s="1"/>
      <c r="AH364" s="1"/>
      <c r="AI364" s="1"/>
    </row>
    <row r="365">
      <c r="A365" s="1"/>
      <c r="B365" s="3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35"/>
      <c r="Y365" s="35"/>
      <c r="Z365" s="35"/>
      <c r="AA365" s="1"/>
      <c r="AB365" s="1"/>
      <c r="AC365" s="1"/>
      <c r="AD365" s="1"/>
      <c r="AE365" s="1"/>
      <c r="AF365" s="1"/>
      <c r="AG365" s="1"/>
      <c r="AH365" s="1"/>
      <c r="AI365" s="1"/>
    </row>
    <row r="366">
      <c r="A366" s="1"/>
      <c r="B366" s="3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35"/>
      <c r="Y366" s="35"/>
      <c r="Z366" s="35"/>
      <c r="AA366" s="1"/>
      <c r="AB366" s="1"/>
      <c r="AC366" s="1"/>
      <c r="AD366" s="1"/>
      <c r="AE366" s="1"/>
      <c r="AF366" s="1"/>
      <c r="AG366" s="1"/>
      <c r="AH366" s="1"/>
      <c r="AI366" s="1"/>
    </row>
    <row r="367">
      <c r="A367" s="1"/>
      <c r="B367" s="3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35"/>
      <c r="Y367" s="35"/>
      <c r="Z367" s="35"/>
      <c r="AA367" s="1"/>
      <c r="AB367" s="1"/>
      <c r="AC367" s="1"/>
      <c r="AD367" s="1"/>
      <c r="AE367" s="1"/>
      <c r="AF367" s="1"/>
      <c r="AG367" s="1"/>
      <c r="AH367" s="1"/>
      <c r="AI367" s="1"/>
    </row>
    <row r="368">
      <c r="A368" s="1"/>
      <c r="B368" s="3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35"/>
      <c r="Y368" s="35"/>
      <c r="Z368" s="35"/>
      <c r="AA368" s="1"/>
      <c r="AB368" s="1"/>
      <c r="AC368" s="1"/>
      <c r="AD368" s="1"/>
      <c r="AE368" s="1"/>
      <c r="AF368" s="1"/>
      <c r="AG368" s="1"/>
      <c r="AH368" s="1"/>
      <c r="AI368" s="1"/>
    </row>
    <row r="369">
      <c r="A369" s="1"/>
      <c r="B369" s="3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35"/>
      <c r="Y369" s="35"/>
      <c r="Z369" s="35"/>
      <c r="AA369" s="1"/>
      <c r="AB369" s="1"/>
      <c r="AC369" s="1"/>
      <c r="AD369" s="1"/>
      <c r="AE369" s="1"/>
      <c r="AF369" s="1"/>
      <c r="AG369" s="1"/>
      <c r="AH369" s="1"/>
      <c r="AI369" s="1"/>
    </row>
    <row r="370">
      <c r="A370" s="1"/>
      <c r="B370" s="3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35"/>
      <c r="Y370" s="35"/>
      <c r="Z370" s="35"/>
      <c r="AA370" s="1"/>
      <c r="AB370" s="1"/>
      <c r="AC370" s="1"/>
      <c r="AD370" s="1"/>
      <c r="AE370" s="1"/>
      <c r="AF370" s="1"/>
      <c r="AG370" s="1"/>
      <c r="AH370" s="1"/>
      <c r="AI370" s="1"/>
    </row>
    <row r="371">
      <c r="A371" s="1"/>
      <c r="B371" s="3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35"/>
      <c r="Y371" s="35"/>
      <c r="Z371" s="35"/>
      <c r="AA371" s="1"/>
      <c r="AB371" s="1"/>
      <c r="AC371" s="1"/>
      <c r="AD371" s="1"/>
      <c r="AE371" s="1"/>
      <c r="AF371" s="1"/>
      <c r="AG371" s="1"/>
      <c r="AH371" s="1"/>
      <c r="AI371" s="1"/>
    </row>
    <row r="372">
      <c r="A372" s="1"/>
      <c r="B372" s="3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35"/>
      <c r="Y372" s="35"/>
      <c r="Z372" s="35"/>
      <c r="AA372" s="1"/>
      <c r="AB372" s="1"/>
      <c r="AC372" s="1"/>
      <c r="AD372" s="1"/>
      <c r="AE372" s="1"/>
      <c r="AF372" s="1"/>
      <c r="AG372" s="1"/>
      <c r="AH372" s="1"/>
      <c r="AI372" s="1"/>
    </row>
    <row r="373">
      <c r="A373" s="1"/>
      <c r="B373" s="3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35"/>
      <c r="Y373" s="35"/>
      <c r="Z373" s="35"/>
      <c r="AA373" s="1"/>
      <c r="AB373" s="1"/>
      <c r="AC373" s="1"/>
      <c r="AD373" s="1"/>
      <c r="AE373" s="1"/>
      <c r="AF373" s="1"/>
      <c r="AG373" s="1"/>
      <c r="AH373" s="1"/>
      <c r="AI373" s="1"/>
    </row>
    <row r="374">
      <c r="A374" s="1"/>
      <c r="B374" s="3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35"/>
      <c r="Y374" s="35"/>
      <c r="Z374" s="35"/>
      <c r="AA374" s="1"/>
      <c r="AB374" s="1"/>
      <c r="AC374" s="1"/>
      <c r="AD374" s="1"/>
      <c r="AE374" s="1"/>
      <c r="AF374" s="1"/>
      <c r="AG374" s="1"/>
      <c r="AH374" s="1"/>
      <c r="AI374" s="1"/>
    </row>
    <row r="375">
      <c r="A375" s="1"/>
      <c r="B375" s="3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35"/>
      <c r="Y375" s="35"/>
      <c r="Z375" s="35"/>
      <c r="AA375" s="1"/>
      <c r="AB375" s="1"/>
      <c r="AC375" s="1"/>
      <c r="AD375" s="1"/>
      <c r="AE375" s="1"/>
      <c r="AF375" s="1"/>
      <c r="AG375" s="1"/>
      <c r="AH375" s="1"/>
      <c r="AI375" s="1"/>
    </row>
    <row r="376">
      <c r="A376" s="1"/>
      <c r="B376" s="3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35"/>
      <c r="Y376" s="35"/>
      <c r="Z376" s="35"/>
      <c r="AA376" s="1"/>
      <c r="AB376" s="1"/>
      <c r="AC376" s="1"/>
      <c r="AD376" s="1"/>
      <c r="AE376" s="1"/>
      <c r="AF376" s="1"/>
      <c r="AG376" s="1"/>
      <c r="AH376" s="1"/>
      <c r="AI376" s="1"/>
    </row>
    <row r="377">
      <c r="A377" s="1"/>
      <c r="B377" s="3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35"/>
      <c r="Y377" s="35"/>
      <c r="Z377" s="35"/>
      <c r="AA377" s="1"/>
      <c r="AB377" s="1"/>
      <c r="AC377" s="1"/>
      <c r="AD377" s="1"/>
      <c r="AE377" s="1"/>
      <c r="AF377" s="1"/>
      <c r="AG377" s="1"/>
      <c r="AH377" s="1"/>
      <c r="AI377" s="1"/>
    </row>
    <row r="378">
      <c r="A378" s="1"/>
      <c r="B378" s="3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35"/>
      <c r="Y378" s="35"/>
      <c r="Z378" s="35"/>
      <c r="AA378" s="1"/>
      <c r="AB378" s="1"/>
      <c r="AC378" s="1"/>
      <c r="AD378" s="1"/>
      <c r="AE378" s="1"/>
      <c r="AF378" s="1"/>
      <c r="AG378" s="1"/>
      <c r="AH378" s="1"/>
      <c r="AI378" s="1"/>
    </row>
    <row r="379">
      <c r="A379" s="1"/>
      <c r="B379" s="3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35"/>
      <c r="Y379" s="35"/>
      <c r="Z379" s="35"/>
      <c r="AA379" s="1"/>
      <c r="AB379" s="1"/>
      <c r="AC379" s="1"/>
      <c r="AD379" s="1"/>
      <c r="AE379" s="1"/>
      <c r="AF379" s="1"/>
      <c r="AG379" s="1"/>
      <c r="AH379" s="1"/>
      <c r="AI379" s="1"/>
    </row>
    <row r="380">
      <c r="A380" s="1"/>
      <c r="B380" s="3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35"/>
      <c r="Y380" s="35"/>
      <c r="Z380" s="35"/>
      <c r="AA380" s="1"/>
      <c r="AB380" s="1"/>
      <c r="AC380" s="1"/>
      <c r="AD380" s="1"/>
      <c r="AE380" s="1"/>
      <c r="AF380" s="1"/>
      <c r="AG380" s="1"/>
      <c r="AH380" s="1"/>
      <c r="AI380" s="1"/>
    </row>
    <row r="381">
      <c r="A381" s="1"/>
      <c r="B381" s="3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35"/>
      <c r="Y381" s="35"/>
      <c r="Z381" s="35"/>
      <c r="AA381" s="1"/>
      <c r="AB381" s="1"/>
      <c r="AC381" s="1"/>
      <c r="AD381" s="1"/>
      <c r="AE381" s="1"/>
      <c r="AF381" s="1"/>
      <c r="AG381" s="1"/>
      <c r="AH381" s="1"/>
      <c r="AI381" s="1"/>
    </row>
    <row r="382">
      <c r="A382" s="1"/>
      <c r="B382" s="3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35"/>
      <c r="Y382" s="35"/>
      <c r="Z382" s="35"/>
      <c r="AA382" s="1"/>
      <c r="AB382" s="1"/>
      <c r="AC382" s="1"/>
      <c r="AD382" s="1"/>
      <c r="AE382" s="1"/>
      <c r="AF382" s="1"/>
      <c r="AG382" s="1"/>
      <c r="AH382" s="1"/>
      <c r="AI382" s="1"/>
    </row>
    <row r="383">
      <c r="A383" s="1"/>
      <c r="B383" s="3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35"/>
      <c r="Y383" s="35"/>
      <c r="Z383" s="35"/>
      <c r="AA383" s="1"/>
      <c r="AB383" s="1"/>
      <c r="AC383" s="1"/>
      <c r="AD383" s="1"/>
      <c r="AE383" s="1"/>
      <c r="AF383" s="1"/>
      <c r="AG383" s="1"/>
      <c r="AH383" s="1"/>
      <c r="AI383" s="1"/>
    </row>
    <row r="384">
      <c r="A384" s="1"/>
      <c r="B384" s="3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35"/>
      <c r="Y384" s="35"/>
      <c r="Z384" s="35"/>
      <c r="AA384" s="1"/>
      <c r="AB384" s="1"/>
      <c r="AC384" s="1"/>
      <c r="AD384" s="1"/>
      <c r="AE384" s="1"/>
      <c r="AF384" s="1"/>
      <c r="AG384" s="1"/>
      <c r="AH384" s="1"/>
      <c r="AI384" s="1"/>
    </row>
    <row r="385">
      <c r="A385" s="1"/>
      <c r="B385" s="3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35"/>
      <c r="Y385" s="35"/>
      <c r="Z385" s="35"/>
      <c r="AA385" s="1"/>
      <c r="AB385" s="1"/>
      <c r="AC385" s="1"/>
      <c r="AD385" s="1"/>
      <c r="AE385" s="1"/>
      <c r="AF385" s="1"/>
      <c r="AG385" s="1"/>
      <c r="AH385" s="1"/>
      <c r="AI385" s="1"/>
    </row>
    <row r="386">
      <c r="A386" s="1"/>
      <c r="B386" s="3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35"/>
      <c r="Y386" s="35"/>
      <c r="Z386" s="35"/>
      <c r="AA386" s="1"/>
      <c r="AB386" s="1"/>
      <c r="AC386" s="1"/>
      <c r="AD386" s="1"/>
      <c r="AE386" s="1"/>
      <c r="AF386" s="1"/>
      <c r="AG386" s="1"/>
      <c r="AH386" s="1"/>
      <c r="AI386" s="1"/>
    </row>
    <row r="387">
      <c r="A387" s="1"/>
      <c r="B387" s="3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35"/>
      <c r="Y387" s="35"/>
      <c r="Z387" s="35"/>
      <c r="AA387" s="1"/>
      <c r="AB387" s="1"/>
      <c r="AC387" s="1"/>
      <c r="AD387" s="1"/>
      <c r="AE387" s="1"/>
      <c r="AF387" s="1"/>
      <c r="AG387" s="1"/>
      <c r="AH387" s="1"/>
      <c r="AI387" s="1"/>
    </row>
    <row r="388">
      <c r="A388" s="1"/>
      <c r="B388" s="3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35"/>
      <c r="Y388" s="35"/>
      <c r="Z388" s="35"/>
      <c r="AA388" s="1"/>
      <c r="AB388" s="1"/>
      <c r="AC388" s="1"/>
      <c r="AD388" s="1"/>
      <c r="AE388" s="1"/>
      <c r="AF388" s="1"/>
      <c r="AG388" s="1"/>
      <c r="AH388" s="1"/>
      <c r="AI388" s="1"/>
    </row>
    <row r="389">
      <c r="A389" s="1"/>
      <c r="B389" s="3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35"/>
      <c r="Y389" s="35"/>
      <c r="Z389" s="35"/>
      <c r="AA389" s="1"/>
      <c r="AB389" s="1"/>
      <c r="AC389" s="1"/>
      <c r="AD389" s="1"/>
      <c r="AE389" s="1"/>
      <c r="AF389" s="1"/>
      <c r="AG389" s="1"/>
      <c r="AH389" s="1"/>
      <c r="AI389" s="1"/>
    </row>
    <row r="390">
      <c r="A390" s="1"/>
      <c r="B390" s="3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35"/>
      <c r="Y390" s="35"/>
      <c r="Z390" s="35"/>
      <c r="AA390" s="1"/>
      <c r="AB390" s="1"/>
      <c r="AC390" s="1"/>
      <c r="AD390" s="1"/>
      <c r="AE390" s="1"/>
      <c r="AF390" s="1"/>
      <c r="AG390" s="1"/>
      <c r="AH390" s="1"/>
      <c r="AI390" s="1"/>
    </row>
    <row r="391">
      <c r="A391" s="1"/>
      <c r="B391" s="3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35"/>
      <c r="Y391" s="35"/>
      <c r="Z391" s="35"/>
      <c r="AA391" s="1"/>
      <c r="AB391" s="1"/>
      <c r="AC391" s="1"/>
      <c r="AD391" s="1"/>
      <c r="AE391" s="1"/>
      <c r="AF391" s="1"/>
      <c r="AG391" s="1"/>
      <c r="AH391" s="1"/>
      <c r="AI391" s="1"/>
    </row>
    <row r="392">
      <c r="A392" s="1"/>
      <c r="B392" s="3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35"/>
      <c r="Y392" s="35"/>
      <c r="Z392" s="35"/>
      <c r="AA392" s="1"/>
      <c r="AB392" s="1"/>
      <c r="AC392" s="1"/>
      <c r="AD392" s="1"/>
      <c r="AE392" s="1"/>
      <c r="AF392" s="1"/>
      <c r="AG392" s="1"/>
      <c r="AH392" s="1"/>
      <c r="AI392" s="1"/>
    </row>
    <row r="393">
      <c r="A393" s="1"/>
      <c r="B393" s="3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35"/>
      <c r="Y393" s="35"/>
      <c r="Z393" s="35"/>
      <c r="AA393" s="1"/>
      <c r="AB393" s="1"/>
      <c r="AC393" s="1"/>
      <c r="AD393" s="1"/>
      <c r="AE393" s="1"/>
      <c r="AF393" s="1"/>
      <c r="AG393" s="1"/>
      <c r="AH393" s="1"/>
      <c r="AI393" s="1"/>
    </row>
    <row r="394">
      <c r="A394" s="1"/>
      <c r="B394" s="3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35"/>
      <c r="Y394" s="35"/>
      <c r="Z394" s="35"/>
      <c r="AA394" s="1"/>
      <c r="AB394" s="1"/>
      <c r="AC394" s="1"/>
      <c r="AD394" s="1"/>
      <c r="AE394" s="1"/>
      <c r="AF394" s="1"/>
      <c r="AG394" s="1"/>
      <c r="AH394" s="1"/>
      <c r="AI394" s="1"/>
    </row>
    <row r="395">
      <c r="A395" s="1"/>
      <c r="B395" s="3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35"/>
      <c r="Y395" s="35"/>
      <c r="Z395" s="35"/>
      <c r="AA395" s="1"/>
      <c r="AB395" s="1"/>
      <c r="AC395" s="1"/>
      <c r="AD395" s="1"/>
      <c r="AE395" s="1"/>
      <c r="AF395" s="1"/>
      <c r="AG395" s="1"/>
      <c r="AH395" s="1"/>
      <c r="AI395" s="1"/>
    </row>
    <row r="396">
      <c r="A396" s="1"/>
      <c r="B396" s="3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35"/>
      <c r="Y396" s="35"/>
      <c r="Z396" s="35"/>
      <c r="AA396" s="1"/>
      <c r="AB396" s="1"/>
      <c r="AC396" s="1"/>
      <c r="AD396" s="1"/>
      <c r="AE396" s="1"/>
      <c r="AF396" s="1"/>
      <c r="AG396" s="1"/>
      <c r="AH396" s="1"/>
      <c r="AI396" s="1"/>
    </row>
    <row r="397">
      <c r="A397" s="1"/>
      <c r="B397" s="3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35"/>
      <c r="Y397" s="35"/>
      <c r="Z397" s="35"/>
      <c r="AA397" s="1"/>
      <c r="AB397" s="1"/>
      <c r="AC397" s="1"/>
      <c r="AD397" s="1"/>
      <c r="AE397" s="1"/>
      <c r="AF397" s="1"/>
      <c r="AG397" s="1"/>
      <c r="AH397" s="1"/>
      <c r="AI397" s="1"/>
    </row>
    <row r="398">
      <c r="A398" s="1"/>
      <c r="B398" s="3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35"/>
      <c r="Y398" s="35"/>
      <c r="Z398" s="35"/>
      <c r="AA398" s="1"/>
      <c r="AB398" s="1"/>
      <c r="AC398" s="1"/>
      <c r="AD398" s="1"/>
      <c r="AE398" s="1"/>
      <c r="AF398" s="1"/>
      <c r="AG398" s="1"/>
      <c r="AH398" s="1"/>
      <c r="AI398" s="1"/>
    </row>
    <row r="399">
      <c r="A399" s="1"/>
      <c r="B399" s="3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35"/>
      <c r="Y399" s="35"/>
      <c r="Z399" s="35"/>
      <c r="AA399" s="1"/>
      <c r="AB399" s="1"/>
      <c r="AC399" s="1"/>
      <c r="AD399" s="1"/>
      <c r="AE399" s="1"/>
      <c r="AF399" s="1"/>
      <c r="AG399" s="1"/>
      <c r="AH399" s="1"/>
      <c r="AI399" s="1"/>
    </row>
    <row r="400">
      <c r="A400" s="1"/>
      <c r="B400" s="3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35"/>
      <c r="Y400" s="35"/>
      <c r="Z400" s="35"/>
      <c r="AA400" s="1"/>
      <c r="AB400" s="1"/>
      <c r="AC400" s="1"/>
      <c r="AD400" s="1"/>
      <c r="AE400" s="1"/>
      <c r="AF400" s="1"/>
      <c r="AG400" s="1"/>
      <c r="AH400" s="1"/>
      <c r="AI400" s="1"/>
    </row>
    <row r="401">
      <c r="A401" s="1"/>
      <c r="B401" s="3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35"/>
      <c r="Y401" s="35"/>
      <c r="Z401" s="35"/>
      <c r="AA401" s="1"/>
      <c r="AB401" s="1"/>
      <c r="AC401" s="1"/>
      <c r="AD401" s="1"/>
      <c r="AE401" s="1"/>
      <c r="AF401" s="1"/>
      <c r="AG401" s="1"/>
      <c r="AH401" s="1"/>
      <c r="AI401" s="1"/>
    </row>
    <row r="402">
      <c r="A402" s="1"/>
      <c r="B402" s="3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35"/>
      <c r="Y402" s="35"/>
      <c r="Z402" s="35"/>
      <c r="AA402" s="1"/>
      <c r="AB402" s="1"/>
      <c r="AC402" s="1"/>
      <c r="AD402" s="1"/>
      <c r="AE402" s="1"/>
      <c r="AF402" s="1"/>
      <c r="AG402" s="1"/>
      <c r="AH402" s="1"/>
      <c r="AI402" s="1"/>
    </row>
    <row r="403">
      <c r="A403" s="1"/>
      <c r="B403" s="3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35"/>
      <c r="Y403" s="35"/>
      <c r="Z403" s="35"/>
      <c r="AA403" s="1"/>
      <c r="AB403" s="1"/>
      <c r="AC403" s="1"/>
      <c r="AD403" s="1"/>
      <c r="AE403" s="1"/>
      <c r="AF403" s="1"/>
      <c r="AG403" s="1"/>
      <c r="AH403" s="1"/>
      <c r="AI403" s="1"/>
    </row>
    <row r="404">
      <c r="A404" s="1"/>
      <c r="B404" s="3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35"/>
      <c r="Y404" s="35"/>
      <c r="Z404" s="35"/>
      <c r="AA404" s="1"/>
      <c r="AB404" s="1"/>
      <c r="AC404" s="1"/>
      <c r="AD404" s="1"/>
      <c r="AE404" s="1"/>
      <c r="AF404" s="1"/>
      <c r="AG404" s="1"/>
      <c r="AH404" s="1"/>
      <c r="AI404" s="1"/>
    </row>
    <row r="405">
      <c r="A405" s="1"/>
      <c r="B405" s="3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35"/>
      <c r="Y405" s="35"/>
      <c r="Z405" s="35"/>
      <c r="AA405" s="1"/>
      <c r="AB405" s="1"/>
      <c r="AC405" s="1"/>
      <c r="AD405" s="1"/>
      <c r="AE405" s="1"/>
      <c r="AF405" s="1"/>
      <c r="AG405" s="1"/>
      <c r="AH405" s="1"/>
      <c r="AI405" s="1"/>
    </row>
    <row r="406">
      <c r="A406" s="1"/>
      <c r="B406" s="3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35"/>
      <c r="Y406" s="35"/>
      <c r="Z406" s="35"/>
      <c r="AA406" s="1"/>
      <c r="AB406" s="1"/>
      <c r="AC406" s="1"/>
      <c r="AD406" s="1"/>
      <c r="AE406" s="1"/>
      <c r="AF406" s="1"/>
      <c r="AG406" s="1"/>
      <c r="AH406" s="1"/>
      <c r="AI406" s="1"/>
    </row>
    <row r="407">
      <c r="A407" s="1"/>
      <c r="B407" s="3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35"/>
      <c r="Y407" s="35"/>
      <c r="Z407" s="35"/>
      <c r="AA407" s="1"/>
      <c r="AB407" s="1"/>
      <c r="AC407" s="1"/>
      <c r="AD407" s="1"/>
      <c r="AE407" s="1"/>
      <c r="AF407" s="1"/>
      <c r="AG407" s="1"/>
      <c r="AH407" s="1"/>
      <c r="AI407" s="1"/>
    </row>
    <row r="408">
      <c r="A408" s="1"/>
      <c r="B408" s="3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35"/>
      <c r="Y408" s="35"/>
      <c r="Z408" s="35"/>
      <c r="AA408" s="1"/>
      <c r="AB408" s="1"/>
      <c r="AC408" s="1"/>
      <c r="AD408" s="1"/>
      <c r="AE408" s="1"/>
      <c r="AF408" s="1"/>
      <c r="AG408" s="1"/>
      <c r="AH408" s="1"/>
      <c r="AI408" s="1"/>
    </row>
    <row r="409">
      <c r="A409" s="1"/>
      <c r="B409" s="3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35"/>
      <c r="Y409" s="35"/>
      <c r="Z409" s="35"/>
      <c r="AA409" s="1"/>
      <c r="AB409" s="1"/>
      <c r="AC409" s="1"/>
      <c r="AD409" s="1"/>
      <c r="AE409" s="1"/>
      <c r="AF409" s="1"/>
      <c r="AG409" s="1"/>
      <c r="AH409" s="1"/>
      <c r="AI409" s="1"/>
    </row>
    <row r="410">
      <c r="A410" s="1"/>
      <c r="B410" s="3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35"/>
      <c r="Y410" s="35"/>
      <c r="Z410" s="35"/>
      <c r="AA410" s="1"/>
      <c r="AB410" s="1"/>
      <c r="AC410" s="1"/>
      <c r="AD410" s="1"/>
      <c r="AE410" s="1"/>
      <c r="AF410" s="1"/>
      <c r="AG410" s="1"/>
      <c r="AH410" s="1"/>
      <c r="AI410" s="1"/>
    </row>
    <row r="411">
      <c r="A411" s="1"/>
      <c r="B411" s="3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35"/>
      <c r="Y411" s="35"/>
      <c r="Z411" s="35"/>
      <c r="AA411" s="1"/>
      <c r="AB411" s="1"/>
      <c r="AC411" s="1"/>
      <c r="AD411" s="1"/>
      <c r="AE411" s="1"/>
      <c r="AF411" s="1"/>
      <c r="AG411" s="1"/>
      <c r="AH411" s="1"/>
      <c r="AI411" s="1"/>
    </row>
    <row r="412">
      <c r="A412" s="1"/>
      <c r="B412" s="3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35"/>
      <c r="Y412" s="35"/>
      <c r="Z412" s="35"/>
      <c r="AA412" s="1"/>
      <c r="AB412" s="1"/>
      <c r="AC412" s="1"/>
      <c r="AD412" s="1"/>
      <c r="AE412" s="1"/>
      <c r="AF412" s="1"/>
      <c r="AG412" s="1"/>
      <c r="AH412" s="1"/>
      <c r="AI412" s="1"/>
    </row>
    <row r="413">
      <c r="A413" s="1"/>
      <c r="B413" s="3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35"/>
      <c r="Y413" s="35"/>
      <c r="Z413" s="35"/>
      <c r="AA413" s="1"/>
      <c r="AB413" s="1"/>
      <c r="AC413" s="1"/>
      <c r="AD413" s="1"/>
      <c r="AE413" s="1"/>
      <c r="AF413" s="1"/>
      <c r="AG413" s="1"/>
      <c r="AH413" s="1"/>
      <c r="AI413" s="1"/>
    </row>
    <row r="414">
      <c r="A414" s="1"/>
      <c r="B414" s="3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35"/>
      <c r="Y414" s="35"/>
      <c r="Z414" s="35"/>
      <c r="AA414" s="1"/>
      <c r="AB414" s="1"/>
      <c r="AC414" s="1"/>
      <c r="AD414" s="1"/>
      <c r="AE414" s="1"/>
      <c r="AF414" s="1"/>
      <c r="AG414" s="1"/>
      <c r="AH414" s="1"/>
      <c r="AI414" s="1"/>
    </row>
    <row r="415">
      <c r="A415" s="1"/>
      <c r="B415" s="3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35"/>
      <c r="Y415" s="35"/>
      <c r="Z415" s="35"/>
      <c r="AA415" s="1"/>
      <c r="AB415" s="1"/>
      <c r="AC415" s="1"/>
      <c r="AD415" s="1"/>
      <c r="AE415" s="1"/>
      <c r="AF415" s="1"/>
      <c r="AG415" s="1"/>
      <c r="AH415" s="1"/>
      <c r="AI415" s="1"/>
    </row>
    <row r="416">
      <c r="A416" s="1"/>
      <c r="B416" s="3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35"/>
      <c r="Y416" s="35"/>
      <c r="Z416" s="35"/>
      <c r="AA416" s="1"/>
      <c r="AB416" s="1"/>
      <c r="AC416" s="1"/>
      <c r="AD416" s="1"/>
      <c r="AE416" s="1"/>
      <c r="AF416" s="1"/>
      <c r="AG416" s="1"/>
      <c r="AH416" s="1"/>
      <c r="AI416" s="1"/>
    </row>
    <row r="417">
      <c r="A417" s="1"/>
      <c r="B417" s="3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35"/>
      <c r="Y417" s="35"/>
      <c r="Z417" s="35"/>
      <c r="AA417" s="1"/>
      <c r="AB417" s="1"/>
      <c r="AC417" s="1"/>
      <c r="AD417" s="1"/>
      <c r="AE417" s="1"/>
      <c r="AF417" s="1"/>
      <c r="AG417" s="1"/>
      <c r="AH417" s="1"/>
      <c r="AI417" s="1"/>
    </row>
    <row r="418">
      <c r="A418" s="1"/>
      <c r="B418" s="3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35"/>
      <c r="Y418" s="35"/>
      <c r="Z418" s="35"/>
      <c r="AA418" s="1"/>
      <c r="AB418" s="1"/>
      <c r="AC418" s="1"/>
      <c r="AD418" s="1"/>
      <c r="AE418" s="1"/>
      <c r="AF418" s="1"/>
      <c r="AG418" s="1"/>
      <c r="AH418" s="1"/>
      <c r="AI418" s="1"/>
    </row>
    <row r="419">
      <c r="A419" s="1"/>
      <c r="B419" s="3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35"/>
      <c r="Y419" s="35"/>
      <c r="Z419" s="35"/>
      <c r="AA419" s="1"/>
      <c r="AB419" s="1"/>
      <c r="AC419" s="1"/>
      <c r="AD419" s="1"/>
      <c r="AE419" s="1"/>
      <c r="AF419" s="1"/>
      <c r="AG419" s="1"/>
      <c r="AH419" s="1"/>
      <c r="AI419" s="1"/>
    </row>
    <row r="420">
      <c r="A420" s="1"/>
      <c r="B420" s="3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35"/>
      <c r="Y420" s="35"/>
      <c r="Z420" s="35"/>
      <c r="AA420" s="1"/>
      <c r="AB420" s="1"/>
      <c r="AC420" s="1"/>
      <c r="AD420" s="1"/>
      <c r="AE420" s="1"/>
      <c r="AF420" s="1"/>
      <c r="AG420" s="1"/>
      <c r="AH420" s="1"/>
      <c r="AI420" s="1"/>
    </row>
    <row r="421">
      <c r="A421" s="1"/>
      <c r="B421" s="3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35"/>
      <c r="Y421" s="35"/>
      <c r="Z421" s="35"/>
      <c r="AA421" s="1"/>
      <c r="AB421" s="1"/>
      <c r="AC421" s="1"/>
      <c r="AD421" s="1"/>
      <c r="AE421" s="1"/>
      <c r="AF421" s="1"/>
      <c r="AG421" s="1"/>
      <c r="AH421" s="1"/>
      <c r="AI421" s="1"/>
    </row>
    <row r="422">
      <c r="A422" s="1"/>
      <c r="B422" s="3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35"/>
      <c r="Y422" s="35"/>
      <c r="Z422" s="35"/>
      <c r="AA422" s="1"/>
      <c r="AB422" s="1"/>
      <c r="AC422" s="1"/>
      <c r="AD422" s="1"/>
      <c r="AE422" s="1"/>
      <c r="AF422" s="1"/>
      <c r="AG422" s="1"/>
      <c r="AH422" s="1"/>
      <c r="AI422" s="1"/>
    </row>
    <row r="423">
      <c r="A423" s="1"/>
      <c r="B423" s="3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35"/>
      <c r="Y423" s="35"/>
      <c r="Z423" s="35"/>
      <c r="AA423" s="1"/>
      <c r="AB423" s="1"/>
      <c r="AC423" s="1"/>
      <c r="AD423" s="1"/>
      <c r="AE423" s="1"/>
      <c r="AF423" s="1"/>
      <c r="AG423" s="1"/>
      <c r="AH423" s="1"/>
      <c r="AI423" s="1"/>
    </row>
    <row r="424">
      <c r="A424" s="1"/>
      <c r="B424" s="3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35"/>
      <c r="Y424" s="35"/>
      <c r="Z424" s="35"/>
      <c r="AA424" s="1"/>
      <c r="AB424" s="1"/>
      <c r="AC424" s="1"/>
      <c r="AD424" s="1"/>
      <c r="AE424" s="1"/>
      <c r="AF424" s="1"/>
      <c r="AG424" s="1"/>
      <c r="AH424" s="1"/>
      <c r="AI424" s="1"/>
    </row>
    <row r="425">
      <c r="A425" s="1"/>
      <c r="B425" s="3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35"/>
      <c r="Y425" s="35"/>
      <c r="Z425" s="35"/>
      <c r="AA425" s="1"/>
      <c r="AB425" s="1"/>
      <c r="AC425" s="1"/>
      <c r="AD425" s="1"/>
      <c r="AE425" s="1"/>
      <c r="AF425" s="1"/>
      <c r="AG425" s="1"/>
      <c r="AH425" s="1"/>
      <c r="AI425" s="1"/>
    </row>
    <row r="426">
      <c r="A426" s="1"/>
      <c r="B426" s="3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35"/>
      <c r="Y426" s="35"/>
      <c r="Z426" s="35"/>
      <c r="AA426" s="1"/>
      <c r="AB426" s="1"/>
      <c r="AC426" s="1"/>
      <c r="AD426" s="1"/>
      <c r="AE426" s="1"/>
      <c r="AF426" s="1"/>
      <c r="AG426" s="1"/>
      <c r="AH426" s="1"/>
      <c r="AI426" s="1"/>
    </row>
    <row r="427">
      <c r="A427" s="1"/>
      <c r="B427" s="3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35"/>
      <c r="Y427" s="35"/>
      <c r="Z427" s="35"/>
      <c r="AA427" s="1"/>
      <c r="AB427" s="1"/>
      <c r="AC427" s="1"/>
      <c r="AD427" s="1"/>
      <c r="AE427" s="1"/>
      <c r="AF427" s="1"/>
      <c r="AG427" s="1"/>
      <c r="AH427" s="1"/>
      <c r="AI427" s="1"/>
    </row>
    <row r="428">
      <c r="A428" s="1"/>
      <c r="B428" s="3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35"/>
      <c r="Y428" s="35"/>
      <c r="Z428" s="35"/>
      <c r="AA428" s="1"/>
      <c r="AB428" s="1"/>
      <c r="AC428" s="1"/>
      <c r="AD428" s="1"/>
      <c r="AE428" s="1"/>
      <c r="AF428" s="1"/>
      <c r="AG428" s="1"/>
      <c r="AH428" s="1"/>
      <c r="AI428" s="1"/>
    </row>
    <row r="429">
      <c r="A429" s="1"/>
      <c r="B429" s="3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35"/>
      <c r="Y429" s="35"/>
      <c r="Z429" s="35"/>
      <c r="AA429" s="1"/>
      <c r="AB429" s="1"/>
      <c r="AC429" s="1"/>
      <c r="AD429" s="1"/>
      <c r="AE429" s="1"/>
      <c r="AF429" s="1"/>
      <c r="AG429" s="1"/>
      <c r="AH429" s="1"/>
      <c r="AI429" s="1"/>
    </row>
    <row r="430">
      <c r="A430" s="1"/>
      <c r="B430" s="3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35"/>
      <c r="Y430" s="35"/>
      <c r="Z430" s="35"/>
      <c r="AA430" s="1"/>
      <c r="AB430" s="1"/>
      <c r="AC430" s="1"/>
      <c r="AD430" s="1"/>
      <c r="AE430" s="1"/>
      <c r="AF430" s="1"/>
      <c r="AG430" s="1"/>
      <c r="AH430" s="1"/>
      <c r="AI430" s="1"/>
    </row>
    <row r="431">
      <c r="A431" s="1"/>
      <c r="B431" s="3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35"/>
      <c r="Y431" s="35"/>
      <c r="Z431" s="35"/>
      <c r="AA431" s="1"/>
      <c r="AB431" s="1"/>
      <c r="AC431" s="1"/>
      <c r="AD431" s="1"/>
      <c r="AE431" s="1"/>
      <c r="AF431" s="1"/>
      <c r="AG431" s="1"/>
      <c r="AH431" s="1"/>
      <c r="AI431" s="1"/>
    </row>
    <row r="432">
      <c r="A432" s="1"/>
      <c r="B432" s="3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35"/>
      <c r="Y432" s="35"/>
      <c r="Z432" s="35"/>
      <c r="AA432" s="1"/>
      <c r="AB432" s="1"/>
      <c r="AC432" s="1"/>
      <c r="AD432" s="1"/>
      <c r="AE432" s="1"/>
      <c r="AF432" s="1"/>
      <c r="AG432" s="1"/>
      <c r="AH432" s="1"/>
      <c r="AI432" s="1"/>
    </row>
    <row r="433">
      <c r="A433" s="1"/>
      <c r="B433" s="3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35"/>
      <c r="Y433" s="35"/>
      <c r="Z433" s="35"/>
      <c r="AA433" s="1"/>
      <c r="AB433" s="1"/>
      <c r="AC433" s="1"/>
      <c r="AD433" s="1"/>
      <c r="AE433" s="1"/>
      <c r="AF433" s="1"/>
      <c r="AG433" s="1"/>
      <c r="AH433" s="1"/>
      <c r="AI433" s="1"/>
    </row>
    <row r="434">
      <c r="A434" s="1"/>
      <c r="B434" s="3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35"/>
      <c r="Y434" s="35"/>
      <c r="Z434" s="35"/>
      <c r="AA434" s="1"/>
      <c r="AB434" s="1"/>
      <c r="AC434" s="1"/>
      <c r="AD434" s="1"/>
      <c r="AE434" s="1"/>
      <c r="AF434" s="1"/>
      <c r="AG434" s="1"/>
      <c r="AH434" s="1"/>
      <c r="AI434" s="1"/>
    </row>
    <row r="435">
      <c r="A435" s="1"/>
      <c r="B435" s="3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35"/>
      <c r="Y435" s="35"/>
      <c r="Z435" s="35"/>
      <c r="AA435" s="1"/>
      <c r="AB435" s="1"/>
      <c r="AC435" s="1"/>
      <c r="AD435" s="1"/>
      <c r="AE435" s="1"/>
      <c r="AF435" s="1"/>
      <c r="AG435" s="1"/>
      <c r="AH435" s="1"/>
      <c r="AI435" s="1"/>
    </row>
    <row r="436">
      <c r="A436" s="1"/>
      <c r="B436" s="3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35"/>
      <c r="Y436" s="35"/>
      <c r="Z436" s="35"/>
      <c r="AA436" s="1"/>
      <c r="AB436" s="1"/>
      <c r="AC436" s="1"/>
      <c r="AD436" s="1"/>
      <c r="AE436" s="1"/>
      <c r="AF436" s="1"/>
      <c r="AG436" s="1"/>
      <c r="AH436" s="1"/>
      <c r="AI436" s="1"/>
    </row>
    <row r="437">
      <c r="A437" s="1"/>
      <c r="B437" s="3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35"/>
      <c r="Y437" s="35"/>
      <c r="Z437" s="35"/>
      <c r="AA437" s="1"/>
      <c r="AB437" s="1"/>
      <c r="AC437" s="1"/>
      <c r="AD437" s="1"/>
      <c r="AE437" s="1"/>
      <c r="AF437" s="1"/>
      <c r="AG437" s="1"/>
      <c r="AH437" s="1"/>
      <c r="AI437" s="1"/>
    </row>
    <row r="438">
      <c r="A438" s="1"/>
      <c r="B438" s="3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35"/>
      <c r="Y438" s="35"/>
      <c r="Z438" s="35"/>
      <c r="AA438" s="1"/>
      <c r="AB438" s="1"/>
      <c r="AC438" s="1"/>
      <c r="AD438" s="1"/>
      <c r="AE438" s="1"/>
      <c r="AF438" s="1"/>
      <c r="AG438" s="1"/>
      <c r="AH438" s="1"/>
      <c r="AI438" s="1"/>
    </row>
    <row r="439">
      <c r="A439" s="1"/>
      <c r="B439" s="3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35"/>
      <c r="Y439" s="35"/>
      <c r="Z439" s="35"/>
      <c r="AA439" s="1"/>
      <c r="AB439" s="1"/>
      <c r="AC439" s="1"/>
      <c r="AD439" s="1"/>
      <c r="AE439" s="1"/>
      <c r="AF439" s="1"/>
      <c r="AG439" s="1"/>
      <c r="AH439" s="1"/>
      <c r="AI439" s="1"/>
    </row>
    <row r="440">
      <c r="A440" s="1"/>
      <c r="B440" s="3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35"/>
      <c r="Y440" s="35"/>
      <c r="Z440" s="35"/>
      <c r="AA440" s="1"/>
      <c r="AB440" s="1"/>
      <c r="AC440" s="1"/>
      <c r="AD440" s="1"/>
      <c r="AE440" s="1"/>
      <c r="AF440" s="1"/>
      <c r="AG440" s="1"/>
      <c r="AH440" s="1"/>
      <c r="AI440" s="1"/>
    </row>
    <row r="441">
      <c r="A441" s="1"/>
      <c r="B441" s="3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35"/>
      <c r="Y441" s="35"/>
      <c r="Z441" s="35"/>
      <c r="AA441" s="1"/>
      <c r="AB441" s="1"/>
      <c r="AC441" s="1"/>
      <c r="AD441" s="1"/>
      <c r="AE441" s="1"/>
      <c r="AF441" s="1"/>
      <c r="AG441" s="1"/>
      <c r="AH441" s="1"/>
      <c r="AI441" s="1"/>
    </row>
    <row r="442">
      <c r="A442" s="1"/>
      <c r="B442" s="3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35"/>
      <c r="Y442" s="35"/>
      <c r="Z442" s="35"/>
      <c r="AA442" s="1"/>
      <c r="AB442" s="1"/>
      <c r="AC442" s="1"/>
      <c r="AD442" s="1"/>
      <c r="AE442" s="1"/>
      <c r="AF442" s="1"/>
      <c r="AG442" s="1"/>
      <c r="AH442" s="1"/>
      <c r="AI442" s="1"/>
    </row>
    <row r="443">
      <c r="A443" s="1"/>
      <c r="B443" s="3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35"/>
      <c r="Y443" s="35"/>
      <c r="Z443" s="35"/>
      <c r="AA443" s="1"/>
      <c r="AB443" s="1"/>
      <c r="AC443" s="1"/>
      <c r="AD443" s="1"/>
      <c r="AE443" s="1"/>
      <c r="AF443" s="1"/>
      <c r="AG443" s="1"/>
      <c r="AH443" s="1"/>
      <c r="AI443" s="1"/>
    </row>
    <row r="444">
      <c r="A444" s="1"/>
      <c r="B444" s="3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35"/>
      <c r="Y444" s="35"/>
      <c r="Z444" s="35"/>
      <c r="AA444" s="1"/>
      <c r="AB444" s="1"/>
      <c r="AC444" s="1"/>
      <c r="AD444" s="1"/>
      <c r="AE444" s="1"/>
      <c r="AF444" s="1"/>
      <c r="AG444" s="1"/>
      <c r="AH444" s="1"/>
      <c r="AI444" s="1"/>
    </row>
    <row r="445">
      <c r="A445" s="1"/>
      <c r="B445" s="3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35"/>
      <c r="Y445" s="35"/>
      <c r="Z445" s="35"/>
      <c r="AA445" s="1"/>
      <c r="AB445" s="1"/>
      <c r="AC445" s="1"/>
      <c r="AD445" s="1"/>
      <c r="AE445" s="1"/>
      <c r="AF445" s="1"/>
      <c r="AG445" s="1"/>
      <c r="AH445" s="1"/>
      <c r="AI445" s="1"/>
    </row>
    <row r="446">
      <c r="A446" s="1"/>
      <c r="B446" s="3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35"/>
      <c r="Y446" s="35"/>
      <c r="Z446" s="35"/>
      <c r="AA446" s="1"/>
      <c r="AB446" s="1"/>
      <c r="AC446" s="1"/>
      <c r="AD446" s="1"/>
      <c r="AE446" s="1"/>
      <c r="AF446" s="1"/>
      <c r="AG446" s="1"/>
      <c r="AH446" s="1"/>
      <c r="AI446" s="1"/>
    </row>
    <row r="447">
      <c r="A447" s="1"/>
      <c r="B447" s="3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35"/>
      <c r="Y447" s="35"/>
      <c r="Z447" s="35"/>
      <c r="AA447" s="1"/>
      <c r="AB447" s="1"/>
      <c r="AC447" s="1"/>
      <c r="AD447" s="1"/>
      <c r="AE447" s="1"/>
      <c r="AF447" s="1"/>
      <c r="AG447" s="1"/>
      <c r="AH447" s="1"/>
      <c r="AI447" s="1"/>
    </row>
    <row r="448">
      <c r="A448" s="1"/>
      <c r="B448" s="3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35"/>
      <c r="Y448" s="35"/>
      <c r="Z448" s="35"/>
      <c r="AA448" s="1"/>
      <c r="AB448" s="1"/>
      <c r="AC448" s="1"/>
      <c r="AD448" s="1"/>
      <c r="AE448" s="1"/>
      <c r="AF448" s="1"/>
      <c r="AG448" s="1"/>
      <c r="AH448" s="1"/>
      <c r="AI448" s="1"/>
    </row>
    <row r="449">
      <c r="A449" s="1"/>
      <c r="B449" s="3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35"/>
      <c r="Y449" s="35"/>
      <c r="Z449" s="35"/>
      <c r="AA449" s="1"/>
      <c r="AB449" s="1"/>
      <c r="AC449" s="1"/>
      <c r="AD449" s="1"/>
      <c r="AE449" s="1"/>
      <c r="AF449" s="1"/>
      <c r="AG449" s="1"/>
      <c r="AH449" s="1"/>
      <c r="AI449" s="1"/>
    </row>
    <row r="450">
      <c r="A450" s="1"/>
      <c r="B450" s="3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35"/>
      <c r="Y450" s="35"/>
      <c r="Z450" s="35"/>
      <c r="AA450" s="1"/>
      <c r="AB450" s="1"/>
      <c r="AC450" s="1"/>
      <c r="AD450" s="1"/>
      <c r="AE450" s="1"/>
      <c r="AF450" s="1"/>
      <c r="AG450" s="1"/>
      <c r="AH450" s="1"/>
      <c r="AI450" s="1"/>
    </row>
    <row r="451">
      <c r="A451" s="1"/>
      <c r="B451" s="3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35"/>
      <c r="Y451" s="35"/>
      <c r="Z451" s="35"/>
      <c r="AA451" s="1"/>
      <c r="AB451" s="1"/>
      <c r="AC451" s="1"/>
      <c r="AD451" s="1"/>
      <c r="AE451" s="1"/>
      <c r="AF451" s="1"/>
      <c r="AG451" s="1"/>
      <c r="AH451" s="1"/>
      <c r="AI451" s="1"/>
    </row>
    <row r="452">
      <c r="A452" s="1"/>
      <c r="B452" s="3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35"/>
      <c r="Y452" s="35"/>
      <c r="Z452" s="35"/>
      <c r="AA452" s="1"/>
      <c r="AB452" s="1"/>
      <c r="AC452" s="1"/>
      <c r="AD452" s="1"/>
      <c r="AE452" s="1"/>
      <c r="AF452" s="1"/>
      <c r="AG452" s="1"/>
      <c r="AH452" s="1"/>
      <c r="AI452" s="1"/>
    </row>
    <row r="453">
      <c r="A453" s="1"/>
      <c r="B453" s="3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35"/>
      <c r="Y453" s="35"/>
      <c r="Z453" s="35"/>
      <c r="AA453" s="1"/>
      <c r="AB453" s="1"/>
      <c r="AC453" s="1"/>
      <c r="AD453" s="1"/>
      <c r="AE453" s="1"/>
      <c r="AF453" s="1"/>
      <c r="AG453" s="1"/>
      <c r="AH453" s="1"/>
      <c r="AI453" s="1"/>
    </row>
    <row r="454">
      <c r="A454" s="1"/>
      <c r="B454" s="3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35"/>
      <c r="Y454" s="35"/>
      <c r="Z454" s="35"/>
      <c r="AA454" s="1"/>
      <c r="AB454" s="1"/>
      <c r="AC454" s="1"/>
      <c r="AD454" s="1"/>
      <c r="AE454" s="1"/>
      <c r="AF454" s="1"/>
      <c r="AG454" s="1"/>
      <c r="AH454" s="1"/>
      <c r="AI454" s="1"/>
    </row>
    <row r="455">
      <c r="A455" s="1"/>
      <c r="B455" s="3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35"/>
      <c r="Y455" s="35"/>
      <c r="Z455" s="35"/>
      <c r="AA455" s="1"/>
      <c r="AB455" s="1"/>
      <c r="AC455" s="1"/>
      <c r="AD455" s="1"/>
      <c r="AE455" s="1"/>
      <c r="AF455" s="1"/>
      <c r="AG455" s="1"/>
      <c r="AH455" s="1"/>
      <c r="AI455" s="1"/>
    </row>
    <row r="456">
      <c r="A456" s="1"/>
      <c r="B456" s="3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35"/>
      <c r="Y456" s="35"/>
      <c r="Z456" s="35"/>
      <c r="AA456" s="1"/>
      <c r="AB456" s="1"/>
      <c r="AC456" s="1"/>
      <c r="AD456" s="1"/>
      <c r="AE456" s="1"/>
      <c r="AF456" s="1"/>
      <c r="AG456" s="1"/>
      <c r="AH456" s="1"/>
      <c r="AI456" s="1"/>
    </row>
    <row r="457">
      <c r="A457" s="1"/>
      <c r="B457" s="3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35"/>
      <c r="Y457" s="35"/>
      <c r="Z457" s="35"/>
      <c r="AA457" s="1"/>
      <c r="AB457" s="1"/>
      <c r="AC457" s="1"/>
      <c r="AD457" s="1"/>
      <c r="AE457" s="1"/>
      <c r="AF457" s="1"/>
      <c r="AG457" s="1"/>
      <c r="AH457" s="1"/>
      <c r="AI457" s="1"/>
    </row>
    <row r="458">
      <c r="A458" s="1"/>
      <c r="B458" s="3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35"/>
      <c r="Y458" s="35"/>
      <c r="Z458" s="35"/>
      <c r="AA458" s="1"/>
      <c r="AB458" s="1"/>
      <c r="AC458" s="1"/>
      <c r="AD458" s="1"/>
      <c r="AE458" s="1"/>
      <c r="AF458" s="1"/>
      <c r="AG458" s="1"/>
      <c r="AH458" s="1"/>
      <c r="AI458" s="1"/>
    </row>
    <row r="459">
      <c r="A459" s="1"/>
      <c r="B459" s="3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35"/>
      <c r="Y459" s="35"/>
      <c r="Z459" s="35"/>
      <c r="AA459" s="1"/>
      <c r="AB459" s="1"/>
      <c r="AC459" s="1"/>
      <c r="AD459" s="1"/>
      <c r="AE459" s="1"/>
      <c r="AF459" s="1"/>
      <c r="AG459" s="1"/>
      <c r="AH459" s="1"/>
      <c r="AI459" s="1"/>
    </row>
    <row r="460">
      <c r="A460" s="1"/>
      <c r="B460" s="3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35"/>
      <c r="Y460" s="35"/>
      <c r="Z460" s="35"/>
      <c r="AA460" s="1"/>
      <c r="AB460" s="1"/>
      <c r="AC460" s="1"/>
      <c r="AD460" s="1"/>
      <c r="AE460" s="1"/>
      <c r="AF460" s="1"/>
      <c r="AG460" s="1"/>
      <c r="AH460" s="1"/>
      <c r="AI460" s="1"/>
    </row>
    <row r="461">
      <c r="A461" s="1"/>
      <c r="B461" s="3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35"/>
      <c r="Y461" s="35"/>
      <c r="Z461" s="35"/>
      <c r="AA461" s="1"/>
      <c r="AB461" s="1"/>
      <c r="AC461" s="1"/>
      <c r="AD461" s="1"/>
      <c r="AE461" s="1"/>
      <c r="AF461" s="1"/>
      <c r="AG461" s="1"/>
      <c r="AH461" s="1"/>
      <c r="AI461" s="1"/>
    </row>
    <row r="462">
      <c r="A462" s="1"/>
      <c r="B462" s="3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35"/>
      <c r="Y462" s="35"/>
      <c r="Z462" s="35"/>
      <c r="AA462" s="1"/>
      <c r="AB462" s="1"/>
      <c r="AC462" s="1"/>
      <c r="AD462" s="1"/>
      <c r="AE462" s="1"/>
      <c r="AF462" s="1"/>
      <c r="AG462" s="1"/>
      <c r="AH462" s="1"/>
      <c r="AI462" s="1"/>
    </row>
    <row r="463">
      <c r="A463" s="1"/>
      <c r="B463" s="3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35"/>
      <c r="Y463" s="35"/>
      <c r="Z463" s="35"/>
      <c r="AA463" s="1"/>
      <c r="AB463" s="1"/>
      <c r="AC463" s="1"/>
      <c r="AD463" s="1"/>
      <c r="AE463" s="1"/>
      <c r="AF463" s="1"/>
      <c r="AG463" s="1"/>
      <c r="AH463" s="1"/>
      <c r="AI463" s="1"/>
    </row>
    <row r="464">
      <c r="A464" s="1"/>
      <c r="B464" s="3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35"/>
      <c r="Y464" s="35"/>
      <c r="Z464" s="35"/>
      <c r="AA464" s="1"/>
      <c r="AB464" s="1"/>
      <c r="AC464" s="1"/>
      <c r="AD464" s="1"/>
      <c r="AE464" s="1"/>
      <c r="AF464" s="1"/>
      <c r="AG464" s="1"/>
      <c r="AH464" s="1"/>
      <c r="AI464" s="1"/>
    </row>
    <row r="465">
      <c r="A465" s="1"/>
      <c r="B465" s="3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35"/>
      <c r="Y465" s="35"/>
      <c r="Z465" s="35"/>
      <c r="AA465" s="1"/>
      <c r="AB465" s="1"/>
      <c r="AC465" s="1"/>
      <c r="AD465" s="1"/>
      <c r="AE465" s="1"/>
      <c r="AF465" s="1"/>
      <c r="AG465" s="1"/>
      <c r="AH465" s="1"/>
      <c r="AI465" s="1"/>
    </row>
    <row r="466">
      <c r="A466" s="1"/>
      <c r="B466" s="3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35"/>
      <c r="Y466" s="35"/>
      <c r="Z466" s="35"/>
      <c r="AA466" s="1"/>
      <c r="AB466" s="1"/>
      <c r="AC466" s="1"/>
      <c r="AD466" s="1"/>
      <c r="AE466" s="1"/>
      <c r="AF466" s="1"/>
      <c r="AG466" s="1"/>
      <c r="AH466" s="1"/>
      <c r="AI466" s="1"/>
    </row>
    <row r="467">
      <c r="A467" s="1"/>
      <c r="B467" s="3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35"/>
      <c r="Y467" s="35"/>
      <c r="Z467" s="35"/>
      <c r="AA467" s="1"/>
      <c r="AB467" s="1"/>
      <c r="AC467" s="1"/>
      <c r="AD467" s="1"/>
      <c r="AE467" s="1"/>
      <c r="AF467" s="1"/>
      <c r="AG467" s="1"/>
      <c r="AH467" s="1"/>
      <c r="AI467" s="1"/>
    </row>
    <row r="468">
      <c r="A468" s="1"/>
      <c r="B468" s="3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35"/>
      <c r="Y468" s="35"/>
      <c r="Z468" s="35"/>
      <c r="AA468" s="1"/>
      <c r="AB468" s="1"/>
      <c r="AC468" s="1"/>
      <c r="AD468" s="1"/>
      <c r="AE468" s="1"/>
      <c r="AF468" s="1"/>
      <c r="AG468" s="1"/>
      <c r="AH468" s="1"/>
      <c r="AI468" s="1"/>
    </row>
    <row r="469">
      <c r="A469" s="1"/>
      <c r="B469" s="3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35"/>
      <c r="Y469" s="35"/>
      <c r="Z469" s="35"/>
      <c r="AA469" s="1"/>
      <c r="AB469" s="1"/>
      <c r="AC469" s="1"/>
      <c r="AD469" s="1"/>
      <c r="AE469" s="1"/>
      <c r="AF469" s="1"/>
      <c r="AG469" s="1"/>
      <c r="AH469" s="1"/>
      <c r="AI469" s="1"/>
    </row>
    <row r="470">
      <c r="A470" s="1"/>
      <c r="B470" s="3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35"/>
      <c r="Y470" s="35"/>
      <c r="Z470" s="35"/>
      <c r="AA470" s="1"/>
      <c r="AB470" s="1"/>
      <c r="AC470" s="1"/>
      <c r="AD470" s="1"/>
      <c r="AE470" s="1"/>
      <c r="AF470" s="1"/>
      <c r="AG470" s="1"/>
      <c r="AH470" s="1"/>
      <c r="AI470" s="1"/>
    </row>
    <row r="471">
      <c r="A471" s="1"/>
      <c r="B471" s="3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35"/>
      <c r="Y471" s="35"/>
      <c r="Z471" s="35"/>
      <c r="AA471" s="1"/>
      <c r="AB471" s="1"/>
      <c r="AC471" s="1"/>
      <c r="AD471" s="1"/>
      <c r="AE471" s="1"/>
      <c r="AF471" s="1"/>
      <c r="AG471" s="1"/>
      <c r="AH471" s="1"/>
      <c r="AI471" s="1"/>
    </row>
    <row r="472">
      <c r="A472" s="1"/>
      <c r="B472" s="3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35"/>
      <c r="Y472" s="35"/>
      <c r="Z472" s="35"/>
      <c r="AA472" s="1"/>
      <c r="AB472" s="1"/>
      <c r="AC472" s="1"/>
      <c r="AD472" s="1"/>
      <c r="AE472" s="1"/>
      <c r="AF472" s="1"/>
      <c r="AG472" s="1"/>
      <c r="AH472" s="1"/>
      <c r="AI472" s="1"/>
    </row>
    <row r="473">
      <c r="A473" s="1"/>
      <c r="B473" s="3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35"/>
      <c r="Y473" s="35"/>
      <c r="Z473" s="35"/>
      <c r="AA473" s="1"/>
      <c r="AB473" s="1"/>
      <c r="AC473" s="1"/>
      <c r="AD473" s="1"/>
      <c r="AE473" s="1"/>
      <c r="AF473" s="1"/>
      <c r="AG473" s="1"/>
      <c r="AH473" s="1"/>
      <c r="AI473" s="1"/>
    </row>
    <row r="474">
      <c r="A474" s="1"/>
      <c r="B474" s="3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35"/>
      <c r="Y474" s="35"/>
      <c r="Z474" s="35"/>
      <c r="AA474" s="1"/>
      <c r="AB474" s="1"/>
      <c r="AC474" s="1"/>
      <c r="AD474" s="1"/>
      <c r="AE474" s="1"/>
      <c r="AF474" s="1"/>
      <c r="AG474" s="1"/>
      <c r="AH474" s="1"/>
      <c r="AI474" s="1"/>
    </row>
    <row r="475">
      <c r="A475" s="1"/>
      <c r="B475" s="3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35"/>
      <c r="Y475" s="35"/>
      <c r="Z475" s="35"/>
      <c r="AA475" s="1"/>
      <c r="AB475" s="1"/>
      <c r="AC475" s="1"/>
      <c r="AD475" s="1"/>
      <c r="AE475" s="1"/>
      <c r="AF475" s="1"/>
      <c r="AG475" s="1"/>
      <c r="AH475" s="1"/>
      <c r="AI475" s="1"/>
    </row>
    <row r="476">
      <c r="A476" s="1"/>
      <c r="B476" s="3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35"/>
      <c r="Y476" s="35"/>
      <c r="Z476" s="35"/>
      <c r="AA476" s="1"/>
      <c r="AB476" s="1"/>
      <c r="AC476" s="1"/>
      <c r="AD476" s="1"/>
      <c r="AE476" s="1"/>
      <c r="AF476" s="1"/>
      <c r="AG476" s="1"/>
      <c r="AH476" s="1"/>
      <c r="AI476" s="1"/>
    </row>
    <row r="477">
      <c r="A477" s="1"/>
      <c r="B477" s="3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35"/>
      <c r="Y477" s="35"/>
      <c r="Z477" s="35"/>
      <c r="AA477" s="1"/>
      <c r="AB477" s="1"/>
      <c r="AC477" s="1"/>
      <c r="AD477" s="1"/>
      <c r="AE477" s="1"/>
      <c r="AF477" s="1"/>
      <c r="AG477" s="1"/>
      <c r="AH477" s="1"/>
      <c r="AI477" s="1"/>
    </row>
    <row r="478">
      <c r="A478" s="1"/>
      <c r="B478" s="3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35"/>
      <c r="Y478" s="35"/>
      <c r="Z478" s="35"/>
      <c r="AA478" s="1"/>
      <c r="AB478" s="1"/>
      <c r="AC478" s="1"/>
      <c r="AD478" s="1"/>
      <c r="AE478" s="1"/>
      <c r="AF478" s="1"/>
      <c r="AG478" s="1"/>
      <c r="AH478" s="1"/>
      <c r="AI478" s="1"/>
    </row>
    <row r="479">
      <c r="A479" s="1"/>
      <c r="B479" s="3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35"/>
      <c r="Y479" s="35"/>
      <c r="Z479" s="35"/>
      <c r="AA479" s="1"/>
      <c r="AB479" s="1"/>
      <c r="AC479" s="1"/>
      <c r="AD479" s="1"/>
      <c r="AE479" s="1"/>
      <c r="AF479" s="1"/>
      <c r="AG479" s="1"/>
      <c r="AH479" s="1"/>
      <c r="AI479" s="1"/>
    </row>
    <row r="480">
      <c r="A480" s="1"/>
      <c r="B480" s="3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35"/>
      <c r="Y480" s="35"/>
      <c r="Z480" s="35"/>
      <c r="AA480" s="1"/>
      <c r="AB480" s="1"/>
      <c r="AC480" s="1"/>
      <c r="AD480" s="1"/>
      <c r="AE480" s="1"/>
      <c r="AF480" s="1"/>
      <c r="AG480" s="1"/>
      <c r="AH480" s="1"/>
      <c r="AI480" s="1"/>
    </row>
    <row r="481">
      <c r="A481" s="1"/>
      <c r="B481" s="3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35"/>
      <c r="Y481" s="35"/>
      <c r="Z481" s="35"/>
      <c r="AA481" s="1"/>
      <c r="AB481" s="1"/>
      <c r="AC481" s="1"/>
      <c r="AD481" s="1"/>
      <c r="AE481" s="1"/>
      <c r="AF481" s="1"/>
      <c r="AG481" s="1"/>
      <c r="AH481" s="1"/>
      <c r="AI481" s="1"/>
    </row>
    <row r="482">
      <c r="A482" s="1"/>
      <c r="B482" s="3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35"/>
      <c r="Y482" s="35"/>
      <c r="Z482" s="35"/>
      <c r="AA482" s="1"/>
      <c r="AB482" s="1"/>
      <c r="AC482" s="1"/>
      <c r="AD482" s="1"/>
      <c r="AE482" s="1"/>
      <c r="AF482" s="1"/>
      <c r="AG482" s="1"/>
      <c r="AH482" s="1"/>
      <c r="AI482" s="1"/>
    </row>
    <row r="483">
      <c r="A483" s="1"/>
      <c r="B483" s="3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35"/>
      <c r="Y483" s="35"/>
      <c r="Z483" s="35"/>
      <c r="AA483" s="1"/>
      <c r="AB483" s="1"/>
      <c r="AC483" s="1"/>
      <c r="AD483" s="1"/>
      <c r="AE483" s="1"/>
      <c r="AF483" s="1"/>
      <c r="AG483" s="1"/>
      <c r="AH483" s="1"/>
      <c r="AI483" s="1"/>
    </row>
    <row r="484">
      <c r="A484" s="1"/>
      <c r="B484" s="3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35"/>
      <c r="Y484" s="35"/>
      <c r="Z484" s="35"/>
      <c r="AA484" s="1"/>
      <c r="AB484" s="1"/>
      <c r="AC484" s="1"/>
      <c r="AD484" s="1"/>
      <c r="AE484" s="1"/>
      <c r="AF484" s="1"/>
      <c r="AG484" s="1"/>
      <c r="AH484" s="1"/>
      <c r="AI484" s="1"/>
    </row>
    <row r="485">
      <c r="A485" s="1"/>
      <c r="B485" s="3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35"/>
      <c r="Y485" s="35"/>
      <c r="Z485" s="35"/>
      <c r="AA485" s="1"/>
      <c r="AB485" s="1"/>
      <c r="AC485" s="1"/>
      <c r="AD485" s="1"/>
      <c r="AE485" s="1"/>
      <c r="AF485" s="1"/>
      <c r="AG485" s="1"/>
      <c r="AH485" s="1"/>
      <c r="AI485" s="1"/>
    </row>
    <row r="486">
      <c r="A486" s="1"/>
      <c r="B486" s="3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35"/>
      <c r="Y486" s="35"/>
      <c r="Z486" s="35"/>
      <c r="AA486" s="1"/>
      <c r="AB486" s="1"/>
      <c r="AC486" s="1"/>
      <c r="AD486" s="1"/>
      <c r="AE486" s="1"/>
      <c r="AF486" s="1"/>
      <c r="AG486" s="1"/>
      <c r="AH486" s="1"/>
      <c r="AI486" s="1"/>
    </row>
    <row r="487">
      <c r="A487" s="1"/>
      <c r="B487" s="3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35"/>
      <c r="Y487" s="35"/>
      <c r="Z487" s="35"/>
      <c r="AA487" s="1"/>
      <c r="AB487" s="1"/>
      <c r="AC487" s="1"/>
      <c r="AD487" s="1"/>
      <c r="AE487" s="1"/>
      <c r="AF487" s="1"/>
      <c r="AG487" s="1"/>
      <c r="AH487" s="1"/>
      <c r="AI487" s="1"/>
    </row>
    <row r="488">
      <c r="A488" s="1"/>
      <c r="B488" s="3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35"/>
      <c r="Y488" s="35"/>
      <c r="Z488" s="35"/>
      <c r="AA488" s="1"/>
      <c r="AB488" s="1"/>
      <c r="AC488" s="1"/>
      <c r="AD488" s="1"/>
      <c r="AE488" s="1"/>
      <c r="AF488" s="1"/>
      <c r="AG488" s="1"/>
      <c r="AH488" s="1"/>
      <c r="AI488" s="1"/>
    </row>
    <row r="489">
      <c r="A489" s="1"/>
      <c r="B489" s="3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35"/>
      <c r="Y489" s="35"/>
      <c r="Z489" s="35"/>
      <c r="AA489" s="1"/>
      <c r="AB489" s="1"/>
      <c r="AC489" s="1"/>
      <c r="AD489" s="1"/>
      <c r="AE489" s="1"/>
      <c r="AF489" s="1"/>
      <c r="AG489" s="1"/>
      <c r="AH489" s="1"/>
      <c r="AI489" s="1"/>
    </row>
    <row r="490">
      <c r="A490" s="1"/>
      <c r="B490" s="3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35"/>
      <c r="Y490" s="35"/>
      <c r="Z490" s="35"/>
      <c r="AA490" s="1"/>
      <c r="AB490" s="1"/>
      <c r="AC490" s="1"/>
      <c r="AD490" s="1"/>
      <c r="AE490" s="1"/>
      <c r="AF490" s="1"/>
      <c r="AG490" s="1"/>
      <c r="AH490" s="1"/>
      <c r="AI490" s="1"/>
    </row>
    <row r="491">
      <c r="A491" s="1"/>
      <c r="B491" s="3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35"/>
      <c r="Y491" s="35"/>
      <c r="Z491" s="35"/>
      <c r="AA491" s="1"/>
      <c r="AB491" s="1"/>
      <c r="AC491" s="1"/>
      <c r="AD491" s="1"/>
      <c r="AE491" s="1"/>
      <c r="AF491" s="1"/>
      <c r="AG491" s="1"/>
      <c r="AH491" s="1"/>
      <c r="AI491" s="1"/>
    </row>
    <row r="492">
      <c r="A492" s="1"/>
      <c r="B492" s="3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35"/>
      <c r="Y492" s="35"/>
      <c r="Z492" s="35"/>
      <c r="AA492" s="1"/>
      <c r="AB492" s="1"/>
      <c r="AC492" s="1"/>
      <c r="AD492" s="1"/>
      <c r="AE492" s="1"/>
      <c r="AF492" s="1"/>
      <c r="AG492" s="1"/>
      <c r="AH492" s="1"/>
      <c r="AI492" s="1"/>
    </row>
    <row r="493">
      <c r="A493" s="1"/>
      <c r="B493" s="3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35"/>
      <c r="Y493" s="35"/>
      <c r="Z493" s="35"/>
      <c r="AA493" s="1"/>
      <c r="AB493" s="1"/>
      <c r="AC493" s="1"/>
      <c r="AD493" s="1"/>
      <c r="AE493" s="1"/>
      <c r="AF493" s="1"/>
      <c r="AG493" s="1"/>
      <c r="AH493" s="1"/>
      <c r="AI493" s="1"/>
    </row>
    <row r="494">
      <c r="A494" s="1"/>
      <c r="B494" s="3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35"/>
      <c r="Y494" s="35"/>
      <c r="Z494" s="35"/>
      <c r="AA494" s="1"/>
      <c r="AB494" s="1"/>
      <c r="AC494" s="1"/>
      <c r="AD494" s="1"/>
      <c r="AE494" s="1"/>
      <c r="AF494" s="1"/>
      <c r="AG494" s="1"/>
      <c r="AH494" s="1"/>
      <c r="AI494" s="1"/>
    </row>
    <row r="495">
      <c r="A495" s="1"/>
      <c r="B495" s="3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35"/>
      <c r="Y495" s="35"/>
      <c r="Z495" s="35"/>
      <c r="AA495" s="1"/>
      <c r="AB495" s="1"/>
      <c r="AC495" s="1"/>
      <c r="AD495" s="1"/>
      <c r="AE495" s="1"/>
      <c r="AF495" s="1"/>
      <c r="AG495" s="1"/>
      <c r="AH495" s="1"/>
      <c r="AI495" s="1"/>
    </row>
    <row r="496">
      <c r="A496" s="1"/>
      <c r="B496" s="3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35"/>
      <c r="Y496" s="35"/>
      <c r="Z496" s="35"/>
      <c r="AA496" s="1"/>
      <c r="AB496" s="1"/>
      <c r="AC496" s="1"/>
      <c r="AD496" s="1"/>
      <c r="AE496" s="1"/>
      <c r="AF496" s="1"/>
      <c r="AG496" s="1"/>
      <c r="AH496" s="1"/>
      <c r="AI496" s="1"/>
    </row>
    <row r="497">
      <c r="A497" s="1"/>
      <c r="B497" s="3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35"/>
      <c r="Y497" s="35"/>
      <c r="Z497" s="35"/>
      <c r="AA497" s="1"/>
      <c r="AB497" s="1"/>
      <c r="AC497" s="1"/>
      <c r="AD497" s="1"/>
      <c r="AE497" s="1"/>
      <c r="AF497" s="1"/>
      <c r="AG497" s="1"/>
      <c r="AH497" s="1"/>
      <c r="AI497" s="1"/>
    </row>
    <row r="498">
      <c r="A498" s="1"/>
      <c r="B498" s="3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35"/>
      <c r="Y498" s="35"/>
      <c r="Z498" s="35"/>
      <c r="AA498" s="1"/>
      <c r="AB498" s="1"/>
      <c r="AC498" s="1"/>
      <c r="AD498" s="1"/>
      <c r="AE498" s="1"/>
      <c r="AF498" s="1"/>
      <c r="AG498" s="1"/>
      <c r="AH498" s="1"/>
      <c r="AI498" s="1"/>
    </row>
    <row r="499">
      <c r="A499" s="1"/>
      <c r="B499" s="3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35"/>
      <c r="Y499" s="35"/>
      <c r="Z499" s="35"/>
      <c r="AA499" s="1"/>
      <c r="AB499" s="1"/>
      <c r="AC499" s="1"/>
      <c r="AD499" s="1"/>
      <c r="AE499" s="1"/>
      <c r="AF499" s="1"/>
      <c r="AG499" s="1"/>
      <c r="AH499" s="1"/>
      <c r="AI499" s="1"/>
    </row>
    <row r="500">
      <c r="A500" s="1"/>
      <c r="B500" s="3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35"/>
      <c r="Y500" s="35"/>
      <c r="Z500" s="35"/>
      <c r="AA500" s="1"/>
      <c r="AB500" s="1"/>
      <c r="AC500" s="1"/>
      <c r="AD500" s="1"/>
      <c r="AE500" s="1"/>
      <c r="AF500" s="1"/>
      <c r="AG500" s="1"/>
      <c r="AH500" s="1"/>
      <c r="AI500" s="1"/>
    </row>
    <row r="501">
      <c r="A501" s="1"/>
      <c r="B501" s="3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35"/>
      <c r="Y501" s="35"/>
      <c r="Z501" s="35"/>
      <c r="AA501" s="1"/>
      <c r="AB501" s="1"/>
      <c r="AC501" s="1"/>
      <c r="AD501" s="1"/>
      <c r="AE501" s="1"/>
      <c r="AF501" s="1"/>
      <c r="AG501" s="1"/>
      <c r="AH501" s="1"/>
      <c r="AI501" s="1"/>
    </row>
    <row r="502">
      <c r="A502" s="1"/>
      <c r="B502" s="3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35"/>
      <c r="Y502" s="35"/>
      <c r="Z502" s="35"/>
      <c r="AA502" s="1"/>
      <c r="AB502" s="1"/>
      <c r="AC502" s="1"/>
      <c r="AD502" s="1"/>
      <c r="AE502" s="1"/>
      <c r="AF502" s="1"/>
      <c r="AG502" s="1"/>
      <c r="AH502" s="1"/>
      <c r="AI502" s="1"/>
    </row>
    <row r="503">
      <c r="A503" s="1"/>
      <c r="B503" s="3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35"/>
      <c r="Y503" s="35"/>
      <c r="Z503" s="35"/>
      <c r="AA503" s="1"/>
      <c r="AB503" s="1"/>
      <c r="AC503" s="1"/>
      <c r="AD503" s="1"/>
      <c r="AE503" s="1"/>
      <c r="AF503" s="1"/>
      <c r="AG503" s="1"/>
      <c r="AH503" s="1"/>
      <c r="AI503" s="1"/>
    </row>
    <row r="504">
      <c r="A504" s="1"/>
      <c r="B504" s="3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35"/>
      <c r="Y504" s="35"/>
      <c r="Z504" s="35"/>
      <c r="AA504" s="1"/>
      <c r="AB504" s="1"/>
      <c r="AC504" s="1"/>
      <c r="AD504" s="1"/>
      <c r="AE504" s="1"/>
      <c r="AF504" s="1"/>
      <c r="AG504" s="1"/>
      <c r="AH504" s="1"/>
      <c r="AI504" s="1"/>
    </row>
    <row r="505">
      <c r="A505" s="1"/>
      <c r="B505" s="3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35"/>
      <c r="Y505" s="35"/>
      <c r="Z505" s="35"/>
      <c r="AA505" s="1"/>
      <c r="AB505" s="1"/>
      <c r="AC505" s="1"/>
      <c r="AD505" s="1"/>
      <c r="AE505" s="1"/>
      <c r="AF505" s="1"/>
      <c r="AG505" s="1"/>
      <c r="AH505" s="1"/>
      <c r="AI505" s="1"/>
    </row>
    <row r="506">
      <c r="A506" s="1"/>
      <c r="B506" s="3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35"/>
      <c r="Y506" s="35"/>
      <c r="Z506" s="35"/>
      <c r="AA506" s="1"/>
      <c r="AB506" s="1"/>
      <c r="AC506" s="1"/>
      <c r="AD506" s="1"/>
      <c r="AE506" s="1"/>
      <c r="AF506" s="1"/>
      <c r="AG506" s="1"/>
      <c r="AH506" s="1"/>
      <c r="AI506" s="1"/>
    </row>
    <row r="507">
      <c r="A507" s="1"/>
      <c r="B507" s="3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35"/>
      <c r="Y507" s="35"/>
      <c r="Z507" s="35"/>
      <c r="AA507" s="1"/>
      <c r="AB507" s="1"/>
      <c r="AC507" s="1"/>
      <c r="AD507" s="1"/>
      <c r="AE507" s="1"/>
      <c r="AF507" s="1"/>
      <c r="AG507" s="1"/>
      <c r="AH507" s="1"/>
      <c r="AI507" s="1"/>
    </row>
    <row r="508">
      <c r="A508" s="1"/>
      <c r="B508" s="3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35"/>
      <c r="Y508" s="35"/>
      <c r="Z508" s="35"/>
      <c r="AA508" s="1"/>
      <c r="AB508" s="1"/>
      <c r="AC508" s="1"/>
      <c r="AD508" s="1"/>
      <c r="AE508" s="1"/>
      <c r="AF508" s="1"/>
      <c r="AG508" s="1"/>
      <c r="AH508" s="1"/>
      <c r="AI508" s="1"/>
    </row>
    <row r="509">
      <c r="A509" s="1"/>
      <c r="B509" s="3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35"/>
      <c r="Y509" s="35"/>
      <c r="Z509" s="35"/>
      <c r="AA509" s="1"/>
      <c r="AB509" s="1"/>
      <c r="AC509" s="1"/>
      <c r="AD509" s="1"/>
      <c r="AE509" s="1"/>
      <c r="AF509" s="1"/>
      <c r="AG509" s="1"/>
      <c r="AH509" s="1"/>
      <c r="AI509" s="1"/>
    </row>
    <row r="510">
      <c r="A510" s="1"/>
      <c r="B510" s="3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35"/>
      <c r="Y510" s="35"/>
      <c r="Z510" s="35"/>
      <c r="AA510" s="1"/>
      <c r="AB510" s="1"/>
      <c r="AC510" s="1"/>
      <c r="AD510" s="1"/>
      <c r="AE510" s="1"/>
      <c r="AF510" s="1"/>
      <c r="AG510" s="1"/>
      <c r="AH510" s="1"/>
      <c r="AI510" s="1"/>
    </row>
    <row r="511">
      <c r="A511" s="1"/>
      <c r="B511" s="3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35"/>
      <c r="Y511" s="35"/>
      <c r="Z511" s="35"/>
      <c r="AA511" s="1"/>
      <c r="AB511" s="1"/>
      <c r="AC511" s="1"/>
      <c r="AD511" s="1"/>
      <c r="AE511" s="1"/>
      <c r="AF511" s="1"/>
      <c r="AG511" s="1"/>
      <c r="AH511" s="1"/>
      <c r="AI511" s="1"/>
    </row>
    <row r="512">
      <c r="A512" s="1"/>
      <c r="B512" s="3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35"/>
      <c r="Y512" s="35"/>
      <c r="Z512" s="35"/>
      <c r="AA512" s="1"/>
      <c r="AB512" s="1"/>
      <c r="AC512" s="1"/>
      <c r="AD512" s="1"/>
      <c r="AE512" s="1"/>
      <c r="AF512" s="1"/>
      <c r="AG512" s="1"/>
      <c r="AH512" s="1"/>
      <c r="AI512" s="1"/>
    </row>
    <row r="513">
      <c r="A513" s="1"/>
      <c r="B513" s="3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35"/>
      <c r="Y513" s="35"/>
      <c r="Z513" s="35"/>
      <c r="AA513" s="1"/>
      <c r="AB513" s="1"/>
      <c r="AC513" s="1"/>
      <c r="AD513" s="1"/>
      <c r="AE513" s="1"/>
      <c r="AF513" s="1"/>
      <c r="AG513" s="1"/>
      <c r="AH513" s="1"/>
      <c r="AI513" s="1"/>
    </row>
    <row r="514">
      <c r="A514" s="1"/>
      <c r="B514" s="3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35"/>
      <c r="Y514" s="35"/>
      <c r="Z514" s="35"/>
      <c r="AA514" s="1"/>
      <c r="AB514" s="1"/>
      <c r="AC514" s="1"/>
      <c r="AD514" s="1"/>
      <c r="AE514" s="1"/>
      <c r="AF514" s="1"/>
      <c r="AG514" s="1"/>
      <c r="AH514" s="1"/>
      <c r="AI514" s="1"/>
    </row>
    <row r="515">
      <c r="A515" s="1"/>
      <c r="B515" s="3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35"/>
      <c r="Y515" s="35"/>
      <c r="Z515" s="35"/>
      <c r="AA515" s="1"/>
      <c r="AB515" s="1"/>
      <c r="AC515" s="1"/>
      <c r="AD515" s="1"/>
      <c r="AE515" s="1"/>
      <c r="AF515" s="1"/>
      <c r="AG515" s="1"/>
      <c r="AH515" s="1"/>
      <c r="AI515" s="1"/>
    </row>
    <row r="516">
      <c r="A516" s="1"/>
      <c r="B516" s="3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35"/>
      <c r="Y516" s="35"/>
      <c r="Z516" s="35"/>
      <c r="AA516" s="1"/>
      <c r="AB516" s="1"/>
      <c r="AC516" s="1"/>
      <c r="AD516" s="1"/>
      <c r="AE516" s="1"/>
      <c r="AF516" s="1"/>
      <c r="AG516" s="1"/>
      <c r="AH516" s="1"/>
      <c r="AI516" s="1"/>
    </row>
    <row r="517">
      <c r="A517" s="1"/>
      <c r="B517" s="3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35"/>
      <c r="Y517" s="35"/>
      <c r="Z517" s="35"/>
      <c r="AA517" s="1"/>
      <c r="AB517" s="1"/>
      <c r="AC517" s="1"/>
      <c r="AD517" s="1"/>
      <c r="AE517" s="1"/>
      <c r="AF517" s="1"/>
      <c r="AG517" s="1"/>
      <c r="AH517" s="1"/>
      <c r="AI517" s="1"/>
    </row>
    <row r="518">
      <c r="A518" s="1"/>
      <c r="B518" s="3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35"/>
      <c r="Y518" s="35"/>
      <c r="Z518" s="35"/>
      <c r="AA518" s="1"/>
      <c r="AB518" s="1"/>
      <c r="AC518" s="1"/>
      <c r="AD518" s="1"/>
      <c r="AE518" s="1"/>
      <c r="AF518" s="1"/>
      <c r="AG518" s="1"/>
      <c r="AH518" s="1"/>
      <c r="AI518" s="1"/>
    </row>
    <row r="519">
      <c r="A519" s="1"/>
      <c r="B519" s="3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35"/>
      <c r="Y519" s="35"/>
      <c r="Z519" s="35"/>
      <c r="AA519" s="1"/>
      <c r="AB519" s="1"/>
      <c r="AC519" s="1"/>
      <c r="AD519" s="1"/>
      <c r="AE519" s="1"/>
      <c r="AF519" s="1"/>
      <c r="AG519" s="1"/>
      <c r="AH519" s="1"/>
      <c r="AI519" s="1"/>
    </row>
    <row r="520">
      <c r="A520" s="1"/>
      <c r="B520" s="3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35"/>
      <c r="Y520" s="35"/>
      <c r="Z520" s="35"/>
      <c r="AA520" s="1"/>
      <c r="AB520" s="1"/>
      <c r="AC520" s="1"/>
      <c r="AD520" s="1"/>
      <c r="AE520" s="1"/>
      <c r="AF520" s="1"/>
      <c r="AG520" s="1"/>
      <c r="AH520" s="1"/>
      <c r="AI520" s="1"/>
    </row>
    <row r="521">
      <c r="A521" s="1"/>
      <c r="B521" s="3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35"/>
      <c r="Y521" s="35"/>
      <c r="Z521" s="35"/>
      <c r="AA521" s="1"/>
      <c r="AB521" s="1"/>
      <c r="AC521" s="1"/>
      <c r="AD521" s="1"/>
      <c r="AE521" s="1"/>
      <c r="AF521" s="1"/>
      <c r="AG521" s="1"/>
      <c r="AH521" s="1"/>
      <c r="AI521" s="1"/>
    </row>
    <row r="522">
      <c r="A522" s="1"/>
      <c r="B522" s="3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35"/>
      <c r="Y522" s="35"/>
      <c r="Z522" s="35"/>
      <c r="AA522" s="1"/>
      <c r="AB522" s="1"/>
      <c r="AC522" s="1"/>
      <c r="AD522" s="1"/>
      <c r="AE522" s="1"/>
      <c r="AF522" s="1"/>
      <c r="AG522" s="1"/>
      <c r="AH522" s="1"/>
      <c r="AI522" s="1"/>
    </row>
    <row r="523">
      <c r="A523" s="1"/>
      <c r="B523" s="3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35"/>
      <c r="Y523" s="35"/>
      <c r="Z523" s="35"/>
      <c r="AA523" s="1"/>
      <c r="AB523" s="1"/>
      <c r="AC523" s="1"/>
      <c r="AD523" s="1"/>
      <c r="AE523" s="1"/>
      <c r="AF523" s="1"/>
      <c r="AG523" s="1"/>
      <c r="AH523" s="1"/>
      <c r="AI523" s="1"/>
    </row>
    <row r="524">
      <c r="A524" s="1"/>
      <c r="B524" s="3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35"/>
      <c r="Y524" s="35"/>
      <c r="Z524" s="35"/>
      <c r="AA524" s="1"/>
      <c r="AB524" s="1"/>
      <c r="AC524" s="1"/>
      <c r="AD524" s="1"/>
      <c r="AE524" s="1"/>
      <c r="AF524" s="1"/>
      <c r="AG524" s="1"/>
      <c r="AH524" s="1"/>
      <c r="AI524" s="1"/>
    </row>
    <row r="525">
      <c r="A525" s="1"/>
      <c r="B525" s="3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35"/>
      <c r="Y525" s="35"/>
      <c r="Z525" s="35"/>
      <c r="AA525" s="1"/>
      <c r="AB525" s="1"/>
      <c r="AC525" s="1"/>
      <c r="AD525" s="1"/>
      <c r="AE525" s="1"/>
      <c r="AF525" s="1"/>
      <c r="AG525" s="1"/>
      <c r="AH525" s="1"/>
      <c r="AI525" s="1"/>
    </row>
    <row r="526">
      <c r="A526" s="1"/>
      <c r="B526" s="3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35"/>
      <c r="Y526" s="35"/>
      <c r="Z526" s="35"/>
      <c r="AA526" s="1"/>
      <c r="AB526" s="1"/>
      <c r="AC526" s="1"/>
      <c r="AD526" s="1"/>
      <c r="AE526" s="1"/>
      <c r="AF526" s="1"/>
      <c r="AG526" s="1"/>
      <c r="AH526" s="1"/>
      <c r="AI526" s="1"/>
    </row>
    <row r="527">
      <c r="A527" s="1"/>
      <c r="B527" s="3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35"/>
      <c r="Y527" s="35"/>
      <c r="Z527" s="35"/>
      <c r="AA527" s="1"/>
      <c r="AB527" s="1"/>
      <c r="AC527" s="1"/>
      <c r="AD527" s="1"/>
      <c r="AE527" s="1"/>
      <c r="AF527" s="1"/>
      <c r="AG527" s="1"/>
      <c r="AH527" s="1"/>
      <c r="AI527" s="1"/>
    </row>
    <row r="528">
      <c r="A528" s="1"/>
      <c r="B528" s="3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35"/>
      <c r="Y528" s="35"/>
      <c r="Z528" s="35"/>
      <c r="AA528" s="1"/>
      <c r="AB528" s="1"/>
      <c r="AC528" s="1"/>
      <c r="AD528" s="1"/>
      <c r="AE528" s="1"/>
      <c r="AF528" s="1"/>
      <c r="AG528" s="1"/>
      <c r="AH528" s="1"/>
      <c r="AI528" s="1"/>
    </row>
    <row r="529">
      <c r="A529" s="1"/>
      <c r="B529" s="3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35"/>
      <c r="Y529" s="35"/>
      <c r="Z529" s="35"/>
      <c r="AA529" s="1"/>
      <c r="AB529" s="1"/>
      <c r="AC529" s="1"/>
      <c r="AD529" s="1"/>
      <c r="AE529" s="1"/>
      <c r="AF529" s="1"/>
      <c r="AG529" s="1"/>
      <c r="AH529" s="1"/>
      <c r="AI529" s="1"/>
    </row>
    <row r="530">
      <c r="A530" s="1"/>
      <c r="B530" s="3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35"/>
      <c r="Y530" s="35"/>
      <c r="Z530" s="35"/>
      <c r="AA530" s="1"/>
      <c r="AB530" s="1"/>
      <c r="AC530" s="1"/>
      <c r="AD530" s="1"/>
      <c r="AE530" s="1"/>
      <c r="AF530" s="1"/>
      <c r="AG530" s="1"/>
      <c r="AH530" s="1"/>
      <c r="AI530" s="1"/>
    </row>
    <row r="531">
      <c r="A531" s="1"/>
      <c r="B531" s="3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35"/>
      <c r="Y531" s="35"/>
      <c r="Z531" s="35"/>
      <c r="AA531" s="1"/>
      <c r="AB531" s="1"/>
      <c r="AC531" s="1"/>
      <c r="AD531" s="1"/>
      <c r="AE531" s="1"/>
      <c r="AF531" s="1"/>
      <c r="AG531" s="1"/>
      <c r="AH531" s="1"/>
      <c r="AI531" s="1"/>
    </row>
    <row r="532">
      <c r="A532" s="1"/>
      <c r="B532" s="3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35"/>
      <c r="Y532" s="35"/>
      <c r="Z532" s="35"/>
      <c r="AA532" s="1"/>
      <c r="AB532" s="1"/>
      <c r="AC532" s="1"/>
      <c r="AD532" s="1"/>
      <c r="AE532" s="1"/>
      <c r="AF532" s="1"/>
      <c r="AG532" s="1"/>
      <c r="AH532" s="1"/>
      <c r="AI532" s="1"/>
    </row>
    <row r="533">
      <c r="A533" s="1"/>
      <c r="B533" s="3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35"/>
      <c r="Y533" s="35"/>
      <c r="Z533" s="35"/>
      <c r="AA533" s="1"/>
      <c r="AB533" s="1"/>
      <c r="AC533" s="1"/>
      <c r="AD533" s="1"/>
      <c r="AE533" s="1"/>
      <c r="AF533" s="1"/>
      <c r="AG533" s="1"/>
      <c r="AH533" s="1"/>
      <c r="AI533" s="1"/>
    </row>
    <row r="534">
      <c r="A534" s="1"/>
      <c r="B534" s="3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35"/>
      <c r="Y534" s="35"/>
      <c r="Z534" s="35"/>
      <c r="AA534" s="1"/>
      <c r="AB534" s="1"/>
      <c r="AC534" s="1"/>
      <c r="AD534" s="1"/>
      <c r="AE534" s="1"/>
      <c r="AF534" s="1"/>
      <c r="AG534" s="1"/>
      <c r="AH534" s="1"/>
      <c r="AI534" s="1"/>
    </row>
    <row r="535">
      <c r="A535" s="1"/>
      <c r="B535" s="3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35"/>
      <c r="Y535" s="35"/>
      <c r="Z535" s="35"/>
      <c r="AA535" s="1"/>
      <c r="AB535" s="1"/>
      <c r="AC535" s="1"/>
      <c r="AD535" s="1"/>
      <c r="AE535" s="1"/>
      <c r="AF535" s="1"/>
      <c r="AG535" s="1"/>
      <c r="AH535" s="1"/>
      <c r="AI535" s="1"/>
    </row>
    <row r="536">
      <c r="A536" s="1"/>
      <c r="B536" s="3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35"/>
      <c r="Y536" s="35"/>
      <c r="Z536" s="35"/>
      <c r="AA536" s="1"/>
      <c r="AB536" s="1"/>
      <c r="AC536" s="1"/>
      <c r="AD536" s="1"/>
      <c r="AE536" s="1"/>
      <c r="AF536" s="1"/>
      <c r="AG536" s="1"/>
      <c r="AH536" s="1"/>
      <c r="AI536" s="1"/>
    </row>
    <row r="537">
      <c r="A537" s="1"/>
      <c r="B537" s="3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35"/>
      <c r="Y537" s="35"/>
      <c r="Z537" s="35"/>
      <c r="AA537" s="1"/>
      <c r="AB537" s="1"/>
      <c r="AC537" s="1"/>
      <c r="AD537" s="1"/>
      <c r="AE537" s="1"/>
      <c r="AF537" s="1"/>
      <c r="AG537" s="1"/>
      <c r="AH537" s="1"/>
      <c r="AI537" s="1"/>
    </row>
    <row r="538">
      <c r="A538" s="1"/>
      <c r="B538" s="3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35"/>
      <c r="Y538" s="35"/>
      <c r="Z538" s="35"/>
      <c r="AA538" s="1"/>
      <c r="AB538" s="1"/>
      <c r="AC538" s="1"/>
      <c r="AD538" s="1"/>
      <c r="AE538" s="1"/>
      <c r="AF538" s="1"/>
      <c r="AG538" s="1"/>
      <c r="AH538" s="1"/>
      <c r="AI538" s="1"/>
    </row>
    <row r="539">
      <c r="A539" s="1"/>
      <c r="B539" s="3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35"/>
      <c r="Y539" s="35"/>
      <c r="Z539" s="35"/>
      <c r="AA539" s="1"/>
      <c r="AB539" s="1"/>
      <c r="AC539" s="1"/>
      <c r="AD539" s="1"/>
      <c r="AE539" s="1"/>
      <c r="AF539" s="1"/>
      <c r="AG539" s="1"/>
      <c r="AH539" s="1"/>
      <c r="AI539" s="1"/>
    </row>
    <row r="540">
      <c r="A540" s="1"/>
      <c r="B540" s="3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35"/>
      <c r="Y540" s="35"/>
      <c r="Z540" s="35"/>
      <c r="AA540" s="1"/>
      <c r="AB540" s="1"/>
      <c r="AC540" s="1"/>
      <c r="AD540" s="1"/>
      <c r="AE540" s="1"/>
      <c r="AF540" s="1"/>
      <c r="AG540" s="1"/>
      <c r="AH540" s="1"/>
      <c r="AI540" s="1"/>
    </row>
    <row r="541">
      <c r="A541" s="1"/>
      <c r="B541" s="3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35"/>
      <c r="Y541" s="35"/>
      <c r="Z541" s="35"/>
      <c r="AA541" s="1"/>
      <c r="AB541" s="1"/>
      <c r="AC541" s="1"/>
      <c r="AD541" s="1"/>
      <c r="AE541" s="1"/>
      <c r="AF541" s="1"/>
      <c r="AG541" s="1"/>
      <c r="AH541" s="1"/>
      <c r="AI541" s="1"/>
    </row>
    <row r="542">
      <c r="A542" s="1"/>
      <c r="B542" s="3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35"/>
      <c r="Y542" s="35"/>
      <c r="Z542" s="35"/>
      <c r="AA542" s="1"/>
      <c r="AB542" s="1"/>
      <c r="AC542" s="1"/>
      <c r="AD542" s="1"/>
      <c r="AE542" s="1"/>
      <c r="AF542" s="1"/>
      <c r="AG542" s="1"/>
      <c r="AH542" s="1"/>
      <c r="AI542" s="1"/>
    </row>
    <row r="543">
      <c r="A543" s="1"/>
      <c r="B543" s="3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35"/>
      <c r="Y543" s="35"/>
      <c r="Z543" s="35"/>
      <c r="AA543" s="1"/>
      <c r="AB543" s="1"/>
      <c r="AC543" s="1"/>
      <c r="AD543" s="1"/>
      <c r="AE543" s="1"/>
      <c r="AF543" s="1"/>
      <c r="AG543" s="1"/>
      <c r="AH543" s="1"/>
      <c r="AI543" s="1"/>
    </row>
    <row r="544">
      <c r="A544" s="1"/>
      <c r="B544" s="3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35"/>
      <c r="Y544" s="35"/>
      <c r="Z544" s="35"/>
      <c r="AA544" s="1"/>
      <c r="AB544" s="1"/>
      <c r="AC544" s="1"/>
      <c r="AD544" s="1"/>
      <c r="AE544" s="1"/>
      <c r="AF544" s="1"/>
      <c r="AG544" s="1"/>
      <c r="AH544" s="1"/>
      <c r="AI544" s="1"/>
    </row>
    <row r="545">
      <c r="A545" s="1"/>
      <c r="B545" s="3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35"/>
      <c r="Y545" s="35"/>
      <c r="Z545" s="35"/>
      <c r="AA545" s="1"/>
      <c r="AB545" s="1"/>
      <c r="AC545" s="1"/>
      <c r="AD545" s="1"/>
      <c r="AE545" s="1"/>
      <c r="AF545" s="1"/>
      <c r="AG545" s="1"/>
      <c r="AH545" s="1"/>
      <c r="AI545" s="1"/>
    </row>
    <row r="546">
      <c r="A546" s="1"/>
      <c r="B546" s="3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35"/>
      <c r="Y546" s="35"/>
      <c r="Z546" s="35"/>
      <c r="AA546" s="1"/>
      <c r="AB546" s="1"/>
      <c r="AC546" s="1"/>
      <c r="AD546" s="1"/>
      <c r="AE546" s="1"/>
      <c r="AF546" s="1"/>
      <c r="AG546" s="1"/>
      <c r="AH546" s="1"/>
      <c r="AI546" s="1"/>
    </row>
    <row r="547">
      <c r="A547" s="1"/>
      <c r="B547" s="3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35"/>
      <c r="Y547" s="35"/>
      <c r="Z547" s="35"/>
      <c r="AA547" s="1"/>
      <c r="AB547" s="1"/>
      <c r="AC547" s="1"/>
      <c r="AD547" s="1"/>
      <c r="AE547" s="1"/>
      <c r="AF547" s="1"/>
      <c r="AG547" s="1"/>
      <c r="AH547" s="1"/>
      <c r="AI547" s="1"/>
    </row>
    <row r="548">
      <c r="A548" s="1"/>
      <c r="B548" s="3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35"/>
      <c r="Y548" s="35"/>
      <c r="Z548" s="35"/>
      <c r="AA548" s="1"/>
      <c r="AB548" s="1"/>
      <c r="AC548" s="1"/>
      <c r="AD548" s="1"/>
      <c r="AE548" s="1"/>
      <c r="AF548" s="1"/>
      <c r="AG548" s="1"/>
      <c r="AH548" s="1"/>
      <c r="AI548" s="1"/>
    </row>
    <row r="549">
      <c r="A549" s="1"/>
      <c r="B549" s="3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35"/>
      <c r="Y549" s="35"/>
      <c r="Z549" s="35"/>
      <c r="AA549" s="1"/>
      <c r="AB549" s="1"/>
      <c r="AC549" s="1"/>
      <c r="AD549" s="1"/>
      <c r="AE549" s="1"/>
      <c r="AF549" s="1"/>
      <c r="AG549" s="1"/>
      <c r="AH549" s="1"/>
      <c r="AI549" s="1"/>
    </row>
    <row r="550">
      <c r="A550" s="1"/>
      <c r="B550" s="3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35"/>
      <c r="Y550" s="35"/>
      <c r="Z550" s="35"/>
      <c r="AA550" s="1"/>
      <c r="AB550" s="1"/>
      <c r="AC550" s="1"/>
      <c r="AD550" s="1"/>
      <c r="AE550" s="1"/>
      <c r="AF550" s="1"/>
      <c r="AG550" s="1"/>
      <c r="AH550" s="1"/>
      <c r="AI550" s="1"/>
    </row>
    <row r="551">
      <c r="A551" s="1"/>
      <c r="B551" s="3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35"/>
      <c r="Y551" s="35"/>
      <c r="Z551" s="35"/>
      <c r="AA551" s="1"/>
      <c r="AB551" s="1"/>
      <c r="AC551" s="1"/>
      <c r="AD551" s="1"/>
      <c r="AE551" s="1"/>
      <c r="AF551" s="1"/>
      <c r="AG551" s="1"/>
      <c r="AH551" s="1"/>
      <c r="AI551" s="1"/>
    </row>
    <row r="552">
      <c r="A552" s="1"/>
      <c r="B552" s="3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35"/>
      <c r="Y552" s="35"/>
      <c r="Z552" s="35"/>
      <c r="AA552" s="1"/>
      <c r="AB552" s="1"/>
      <c r="AC552" s="1"/>
      <c r="AD552" s="1"/>
      <c r="AE552" s="1"/>
      <c r="AF552" s="1"/>
      <c r="AG552" s="1"/>
      <c r="AH552" s="1"/>
      <c r="AI552" s="1"/>
    </row>
    <row r="553">
      <c r="A553" s="1"/>
      <c r="B553" s="3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35"/>
      <c r="Y553" s="35"/>
      <c r="Z553" s="35"/>
      <c r="AA553" s="1"/>
      <c r="AB553" s="1"/>
      <c r="AC553" s="1"/>
      <c r="AD553" s="1"/>
      <c r="AE553" s="1"/>
      <c r="AF553" s="1"/>
      <c r="AG553" s="1"/>
      <c r="AH553" s="1"/>
      <c r="AI553" s="1"/>
    </row>
    <row r="554">
      <c r="A554" s="1"/>
      <c r="B554" s="3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35"/>
      <c r="Y554" s="35"/>
      <c r="Z554" s="35"/>
      <c r="AA554" s="1"/>
      <c r="AB554" s="1"/>
      <c r="AC554" s="1"/>
      <c r="AD554" s="1"/>
      <c r="AE554" s="1"/>
      <c r="AF554" s="1"/>
      <c r="AG554" s="1"/>
      <c r="AH554" s="1"/>
      <c r="AI554" s="1"/>
    </row>
    <row r="555">
      <c r="A555" s="1"/>
      <c r="B555" s="3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35"/>
      <c r="Y555" s="35"/>
      <c r="Z555" s="35"/>
      <c r="AA555" s="1"/>
      <c r="AB555" s="1"/>
      <c r="AC555" s="1"/>
      <c r="AD555" s="1"/>
      <c r="AE555" s="1"/>
      <c r="AF555" s="1"/>
      <c r="AG555" s="1"/>
      <c r="AH555" s="1"/>
      <c r="AI555" s="1"/>
    </row>
    <row r="556">
      <c r="A556" s="1"/>
      <c r="B556" s="3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35"/>
      <c r="Y556" s="35"/>
      <c r="Z556" s="35"/>
      <c r="AA556" s="1"/>
      <c r="AB556" s="1"/>
      <c r="AC556" s="1"/>
      <c r="AD556" s="1"/>
      <c r="AE556" s="1"/>
      <c r="AF556" s="1"/>
      <c r="AG556" s="1"/>
      <c r="AH556" s="1"/>
      <c r="AI556" s="1"/>
    </row>
    <row r="557">
      <c r="A557" s="1"/>
      <c r="B557" s="3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35"/>
      <c r="Y557" s="35"/>
      <c r="Z557" s="35"/>
      <c r="AA557" s="1"/>
      <c r="AB557" s="1"/>
      <c r="AC557" s="1"/>
      <c r="AD557" s="1"/>
      <c r="AE557" s="1"/>
      <c r="AF557" s="1"/>
      <c r="AG557" s="1"/>
      <c r="AH557" s="1"/>
      <c r="AI557" s="1"/>
    </row>
    <row r="558">
      <c r="A558" s="1"/>
      <c r="B558" s="3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35"/>
      <c r="Y558" s="35"/>
      <c r="Z558" s="35"/>
      <c r="AA558" s="1"/>
      <c r="AB558" s="1"/>
      <c r="AC558" s="1"/>
      <c r="AD558" s="1"/>
      <c r="AE558" s="1"/>
      <c r="AF558" s="1"/>
      <c r="AG558" s="1"/>
      <c r="AH558" s="1"/>
      <c r="AI558" s="1"/>
    </row>
    <row r="559">
      <c r="A559" s="1"/>
      <c r="B559" s="3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35"/>
      <c r="Y559" s="35"/>
      <c r="Z559" s="35"/>
      <c r="AA559" s="1"/>
      <c r="AB559" s="1"/>
      <c r="AC559" s="1"/>
      <c r="AD559" s="1"/>
      <c r="AE559" s="1"/>
      <c r="AF559" s="1"/>
      <c r="AG559" s="1"/>
      <c r="AH559" s="1"/>
      <c r="AI559" s="1"/>
    </row>
    <row r="560">
      <c r="A560" s="1"/>
      <c r="B560" s="3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35"/>
      <c r="Y560" s="35"/>
      <c r="Z560" s="35"/>
      <c r="AA560" s="1"/>
      <c r="AB560" s="1"/>
      <c r="AC560" s="1"/>
      <c r="AD560" s="1"/>
      <c r="AE560" s="1"/>
      <c r="AF560" s="1"/>
      <c r="AG560" s="1"/>
      <c r="AH560" s="1"/>
      <c r="AI560" s="1"/>
    </row>
    <row r="561">
      <c r="A561" s="1"/>
      <c r="B561" s="3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35"/>
      <c r="Y561" s="35"/>
      <c r="Z561" s="35"/>
      <c r="AA561" s="1"/>
      <c r="AB561" s="1"/>
      <c r="AC561" s="1"/>
      <c r="AD561" s="1"/>
      <c r="AE561" s="1"/>
      <c r="AF561" s="1"/>
      <c r="AG561" s="1"/>
      <c r="AH561" s="1"/>
      <c r="AI561" s="1"/>
    </row>
    <row r="562">
      <c r="A562" s="1"/>
      <c r="B562" s="3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35"/>
      <c r="Y562" s="35"/>
      <c r="Z562" s="35"/>
      <c r="AA562" s="1"/>
      <c r="AB562" s="1"/>
      <c r="AC562" s="1"/>
      <c r="AD562" s="1"/>
      <c r="AE562" s="1"/>
      <c r="AF562" s="1"/>
      <c r="AG562" s="1"/>
      <c r="AH562" s="1"/>
      <c r="AI562" s="1"/>
    </row>
    <row r="563">
      <c r="A563" s="1"/>
      <c r="B563" s="3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35"/>
      <c r="Y563" s="35"/>
      <c r="Z563" s="35"/>
      <c r="AA563" s="1"/>
      <c r="AB563" s="1"/>
      <c r="AC563" s="1"/>
      <c r="AD563" s="1"/>
      <c r="AE563" s="1"/>
      <c r="AF563" s="1"/>
      <c r="AG563" s="1"/>
      <c r="AH563" s="1"/>
      <c r="AI563" s="1"/>
    </row>
    <row r="564">
      <c r="A564" s="1"/>
      <c r="B564" s="3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35"/>
      <c r="Y564" s="35"/>
      <c r="Z564" s="35"/>
      <c r="AA564" s="1"/>
      <c r="AB564" s="1"/>
      <c r="AC564" s="1"/>
      <c r="AD564" s="1"/>
      <c r="AE564" s="1"/>
      <c r="AF564" s="1"/>
      <c r="AG564" s="1"/>
      <c r="AH564" s="1"/>
      <c r="AI564" s="1"/>
    </row>
    <row r="565">
      <c r="A565" s="1"/>
      <c r="B565" s="3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35"/>
      <c r="Y565" s="35"/>
      <c r="Z565" s="35"/>
      <c r="AA565" s="1"/>
      <c r="AB565" s="1"/>
      <c r="AC565" s="1"/>
      <c r="AD565" s="1"/>
      <c r="AE565" s="1"/>
      <c r="AF565" s="1"/>
      <c r="AG565" s="1"/>
      <c r="AH565" s="1"/>
      <c r="AI565" s="1"/>
    </row>
    <row r="566">
      <c r="A566" s="1"/>
      <c r="B566" s="3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35"/>
      <c r="Y566" s="35"/>
      <c r="Z566" s="35"/>
      <c r="AA566" s="1"/>
      <c r="AB566" s="1"/>
      <c r="AC566" s="1"/>
      <c r="AD566" s="1"/>
      <c r="AE566" s="1"/>
      <c r="AF566" s="1"/>
      <c r="AG566" s="1"/>
      <c r="AH566" s="1"/>
      <c r="AI566" s="1"/>
    </row>
    <row r="567">
      <c r="A567" s="1"/>
      <c r="B567" s="3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35"/>
      <c r="Y567" s="35"/>
      <c r="Z567" s="35"/>
      <c r="AA567" s="1"/>
      <c r="AB567" s="1"/>
      <c r="AC567" s="1"/>
      <c r="AD567" s="1"/>
      <c r="AE567" s="1"/>
      <c r="AF567" s="1"/>
      <c r="AG567" s="1"/>
      <c r="AH567" s="1"/>
      <c r="AI567" s="1"/>
    </row>
    <row r="568">
      <c r="A568" s="1"/>
      <c r="B568" s="3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35"/>
      <c r="Y568" s="35"/>
      <c r="Z568" s="35"/>
      <c r="AA568" s="1"/>
      <c r="AB568" s="1"/>
      <c r="AC568" s="1"/>
      <c r="AD568" s="1"/>
      <c r="AE568" s="1"/>
      <c r="AF568" s="1"/>
      <c r="AG568" s="1"/>
      <c r="AH568" s="1"/>
      <c r="AI568" s="1"/>
    </row>
    <row r="569">
      <c r="A569" s="1"/>
      <c r="B569" s="3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35"/>
      <c r="Y569" s="35"/>
      <c r="Z569" s="35"/>
      <c r="AA569" s="1"/>
      <c r="AB569" s="1"/>
      <c r="AC569" s="1"/>
      <c r="AD569" s="1"/>
      <c r="AE569" s="1"/>
      <c r="AF569" s="1"/>
      <c r="AG569" s="1"/>
      <c r="AH569" s="1"/>
      <c r="AI569" s="1"/>
    </row>
    <row r="570">
      <c r="A570" s="1"/>
      <c r="B570" s="3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35"/>
      <c r="Y570" s="35"/>
      <c r="Z570" s="35"/>
      <c r="AA570" s="1"/>
      <c r="AB570" s="1"/>
      <c r="AC570" s="1"/>
      <c r="AD570" s="1"/>
      <c r="AE570" s="1"/>
      <c r="AF570" s="1"/>
      <c r="AG570" s="1"/>
      <c r="AH570" s="1"/>
      <c r="AI570" s="1"/>
    </row>
    <row r="571">
      <c r="A571" s="1"/>
      <c r="B571" s="3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35"/>
      <c r="Y571" s="35"/>
      <c r="Z571" s="35"/>
      <c r="AA571" s="1"/>
      <c r="AB571" s="1"/>
      <c r="AC571" s="1"/>
      <c r="AD571" s="1"/>
      <c r="AE571" s="1"/>
      <c r="AF571" s="1"/>
      <c r="AG571" s="1"/>
      <c r="AH571" s="1"/>
      <c r="AI571" s="1"/>
    </row>
    <row r="572">
      <c r="A572" s="1"/>
      <c r="B572" s="3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35"/>
      <c r="Y572" s="35"/>
      <c r="Z572" s="35"/>
      <c r="AA572" s="1"/>
      <c r="AB572" s="1"/>
      <c r="AC572" s="1"/>
      <c r="AD572" s="1"/>
      <c r="AE572" s="1"/>
      <c r="AF572" s="1"/>
      <c r="AG572" s="1"/>
      <c r="AH572" s="1"/>
      <c r="AI572" s="1"/>
    </row>
    <row r="573">
      <c r="A573" s="1"/>
      <c r="B573" s="3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35"/>
      <c r="Y573" s="35"/>
      <c r="Z573" s="35"/>
      <c r="AA573" s="1"/>
      <c r="AB573" s="1"/>
      <c r="AC573" s="1"/>
      <c r="AD573" s="1"/>
      <c r="AE573" s="1"/>
      <c r="AF573" s="1"/>
      <c r="AG573" s="1"/>
      <c r="AH573" s="1"/>
      <c r="AI573" s="1"/>
    </row>
    <row r="574">
      <c r="A574" s="1"/>
      <c r="B574" s="3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35"/>
      <c r="Y574" s="35"/>
      <c r="Z574" s="35"/>
      <c r="AA574" s="1"/>
      <c r="AB574" s="1"/>
      <c r="AC574" s="1"/>
      <c r="AD574" s="1"/>
      <c r="AE574" s="1"/>
      <c r="AF574" s="1"/>
      <c r="AG574" s="1"/>
      <c r="AH574" s="1"/>
      <c r="AI574" s="1"/>
    </row>
    <row r="575">
      <c r="A575" s="1"/>
      <c r="B575" s="3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35"/>
      <c r="Y575" s="35"/>
      <c r="Z575" s="35"/>
      <c r="AA575" s="1"/>
      <c r="AB575" s="1"/>
      <c r="AC575" s="1"/>
      <c r="AD575" s="1"/>
      <c r="AE575" s="1"/>
      <c r="AF575" s="1"/>
      <c r="AG575" s="1"/>
      <c r="AH575" s="1"/>
      <c r="AI575" s="1"/>
    </row>
    <row r="576">
      <c r="A576" s="1"/>
      <c r="B576" s="3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35"/>
      <c r="Y576" s="35"/>
      <c r="Z576" s="35"/>
      <c r="AA576" s="1"/>
      <c r="AB576" s="1"/>
      <c r="AC576" s="1"/>
      <c r="AD576" s="1"/>
      <c r="AE576" s="1"/>
      <c r="AF576" s="1"/>
      <c r="AG576" s="1"/>
      <c r="AH576" s="1"/>
      <c r="AI576" s="1"/>
    </row>
    <row r="577">
      <c r="A577" s="1"/>
      <c r="B577" s="3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35"/>
      <c r="Y577" s="35"/>
      <c r="Z577" s="35"/>
      <c r="AA577" s="1"/>
      <c r="AB577" s="1"/>
      <c r="AC577" s="1"/>
      <c r="AD577" s="1"/>
      <c r="AE577" s="1"/>
      <c r="AF577" s="1"/>
      <c r="AG577" s="1"/>
      <c r="AH577" s="1"/>
      <c r="AI577" s="1"/>
    </row>
    <row r="578">
      <c r="A578" s="1"/>
      <c r="B578" s="3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35"/>
      <c r="Y578" s="35"/>
      <c r="Z578" s="35"/>
      <c r="AA578" s="1"/>
      <c r="AB578" s="1"/>
      <c r="AC578" s="1"/>
      <c r="AD578" s="1"/>
      <c r="AE578" s="1"/>
      <c r="AF578" s="1"/>
      <c r="AG578" s="1"/>
      <c r="AH578" s="1"/>
      <c r="AI578" s="1"/>
    </row>
    <row r="579">
      <c r="A579" s="1"/>
      <c r="B579" s="3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35"/>
      <c r="Y579" s="35"/>
      <c r="Z579" s="35"/>
      <c r="AA579" s="1"/>
      <c r="AB579" s="1"/>
      <c r="AC579" s="1"/>
      <c r="AD579" s="1"/>
      <c r="AE579" s="1"/>
      <c r="AF579" s="1"/>
      <c r="AG579" s="1"/>
      <c r="AH579" s="1"/>
      <c r="AI579" s="1"/>
    </row>
    <row r="580">
      <c r="A580" s="1"/>
      <c r="B580" s="3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35"/>
      <c r="Y580" s="35"/>
      <c r="Z580" s="35"/>
      <c r="AA580" s="1"/>
      <c r="AB580" s="1"/>
      <c r="AC580" s="1"/>
      <c r="AD580" s="1"/>
      <c r="AE580" s="1"/>
      <c r="AF580" s="1"/>
      <c r="AG580" s="1"/>
      <c r="AH580" s="1"/>
      <c r="AI580" s="1"/>
    </row>
    <row r="581">
      <c r="A581" s="1"/>
      <c r="B581" s="3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35"/>
      <c r="Y581" s="35"/>
      <c r="Z581" s="35"/>
      <c r="AA581" s="1"/>
      <c r="AB581" s="1"/>
      <c r="AC581" s="1"/>
      <c r="AD581" s="1"/>
      <c r="AE581" s="1"/>
      <c r="AF581" s="1"/>
      <c r="AG581" s="1"/>
      <c r="AH581" s="1"/>
      <c r="AI581" s="1"/>
    </row>
    <row r="582">
      <c r="A582" s="1"/>
      <c r="B582" s="3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35"/>
      <c r="Y582" s="35"/>
      <c r="Z582" s="35"/>
      <c r="AA582" s="1"/>
      <c r="AB582" s="1"/>
      <c r="AC582" s="1"/>
      <c r="AD582" s="1"/>
      <c r="AE582" s="1"/>
      <c r="AF582" s="1"/>
      <c r="AG582" s="1"/>
      <c r="AH582" s="1"/>
      <c r="AI582" s="1"/>
    </row>
    <row r="583">
      <c r="A583" s="1"/>
      <c r="B583" s="3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35"/>
      <c r="Y583" s="35"/>
      <c r="Z583" s="35"/>
      <c r="AA583" s="1"/>
      <c r="AB583" s="1"/>
      <c r="AC583" s="1"/>
      <c r="AD583" s="1"/>
      <c r="AE583" s="1"/>
      <c r="AF583" s="1"/>
      <c r="AG583" s="1"/>
      <c r="AH583" s="1"/>
      <c r="AI583" s="1"/>
    </row>
    <row r="584">
      <c r="A584" s="1"/>
      <c r="B584" s="3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35"/>
      <c r="Y584" s="35"/>
      <c r="Z584" s="35"/>
      <c r="AA584" s="1"/>
      <c r="AB584" s="1"/>
      <c r="AC584" s="1"/>
      <c r="AD584" s="1"/>
      <c r="AE584" s="1"/>
      <c r="AF584" s="1"/>
      <c r="AG584" s="1"/>
      <c r="AH584" s="1"/>
      <c r="AI584" s="1"/>
    </row>
    <row r="585">
      <c r="A585" s="1"/>
      <c r="B585" s="3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35"/>
      <c r="Y585" s="35"/>
      <c r="Z585" s="35"/>
      <c r="AA585" s="1"/>
      <c r="AB585" s="1"/>
      <c r="AC585" s="1"/>
      <c r="AD585" s="1"/>
      <c r="AE585" s="1"/>
      <c r="AF585" s="1"/>
      <c r="AG585" s="1"/>
      <c r="AH585" s="1"/>
      <c r="AI585" s="1"/>
    </row>
    <row r="586">
      <c r="A586" s="1"/>
      <c r="B586" s="3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35"/>
      <c r="Y586" s="35"/>
      <c r="Z586" s="35"/>
      <c r="AA586" s="1"/>
      <c r="AB586" s="1"/>
      <c r="AC586" s="1"/>
      <c r="AD586" s="1"/>
      <c r="AE586" s="1"/>
      <c r="AF586" s="1"/>
      <c r="AG586" s="1"/>
      <c r="AH586" s="1"/>
      <c r="AI586" s="1"/>
    </row>
    <row r="587">
      <c r="A587" s="1"/>
      <c r="B587" s="3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35"/>
      <c r="Y587" s="35"/>
      <c r="Z587" s="35"/>
      <c r="AA587" s="1"/>
      <c r="AB587" s="1"/>
      <c r="AC587" s="1"/>
      <c r="AD587" s="1"/>
      <c r="AE587" s="1"/>
      <c r="AF587" s="1"/>
      <c r="AG587" s="1"/>
      <c r="AH587" s="1"/>
      <c r="AI587" s="1"/>
    </row>
    <row r="588">
      <c r="A588" s="1"/>
      <c r="B588" s="3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35"/>
      <c r="Y588" s="35"/>
      <c r="Z588" s="35"/>
      <c r="AA588" s="1"/>
      <c r="AB588" s="1"/>
      <c r="AC588" s="1"/>
      <c r="AD588" s="1"/>
      <c r="AE588" s="1"/>
      <c r="AF588" s="1"/>
      <c r="AG588" s="1"/>
      <c r="AH588" s="1"/>
      <c r="AI588" s="1"/>
    </row>
    <row r="589">
      <c r="A589" s="1"/>
      <c r="B589" s="3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35"/>
      <c r="Y589" s="35"/>
      <c r="Z589" s="35"/>
      <c r="AA589" s="1"/>
      <c r="AB589" s="1"/>
      <c r="AC589" s="1"/>
      <c r="AD589" s="1"/>
      <c r="AE589" s="1"/>
      <c r="AF589" s="1"/>
      <c r="AG589" s="1"/>
      <c r="AH589" s="1"/>
      <c r="AI589" s="1"/>
    </row>
    <row r="590">
      <c r="A590" s="1"/>
      <c r="B590" s="3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35"/>
      <c r="Y590" s="35"/>
      <c r="Z590" s="35"/>
      <c r="AA590" s="1"/>
      <c r="AB590" s="1"/>
      <c r="AC590" s="1"/>
      <c r="AD590" s="1"/>
      <c r="AE590" s="1"/>
      <c r="AF590" s="1"/>
      <c r="AG590" s="1"/>
      <c r="AH590" s="1"/>
      <c r="AI590" s="1"/>
    </row>
    <row r="591">
      <c r="A591" s="1"/>
      <c r="B591" s="3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35"/>
      <c r="Y591" s="35"/>
      <c r="Z591" s="35"/>
      <c r="AA591" s="1"/>
      <c r="AB591" s="1"/>
      <c r="AC591" s="1"/>
      <c r="AD591" s="1"/>
      <c r="AE591" s="1"/>
      <c r="AF591" s="1"/>
      <c r="AG591" s="1"/>
      <c r="AH591" s="1"/>
      <c r="AI591" s="1"/>
    </row>
    <row r="592">
      <c r="A592" s="1"/>
      <c r="B592" s="3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35"/>
      <c r="Y592" s="35"/>
      <c r="Z592" s="35"/>
      <c r="AA592" s="1"/>
      <c r="AB592" s="1"/>
      <c r="AC592" s="1"/>
      <c r="AD592" s="1"/>
      <c r="AE592" s="1"/>
      <c r="AF592" s="1"/>
      <c r="AG592" s="1"/>
      <c r="AH592" s="1"/>
      <c r="AI592" s="1"/>
    </row>
    <row r="593">
      <c r="A593" s="1"/>
      <c r="B593" s="3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35"/>
      <c r="Y593" s="35"/>
      <c r="Z593" s="35"/>
      <c r="AA593" s="1"/>
      <c r="AB593" s="1"/>
      <c r="AC593" s="1"/>
      <c r="AD593" s="1"/>
      <c r="AE593" s="1"/>
      <c r="AF593" s="1"/>
      <c r="AG593" s="1"/>
      <c r="AH593" s="1"/>
      <c r="AI593" s="1"/>
    </row>
    <row r="594">
      <c r="A594" s="1"/>
      <c r="B594" s="3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35"/>
      <c r="Y594" s="35"/>
      <c r="Z594" s="35"/>
      <c r="AA594" s="1"/>
      <c r="AB594" s="1"/>
      <c r="AC594" s="1"/>
      <c r="AD594" s="1"/>
      <c r="AE594" s="1"/>
      <c r="AF594" s="1"/>
      <c r="AG594" s="1"/>
      <c r="AH594" s="1"/>
      <c r="AI594" s="1"/>
    </row>
    <row r="595">
      <c r="A595" s="1"/>
      <c r="B595" s="3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35"/>
      <c r="Y595" s="35"/>
      <c r="Z595" s="35"/>
      <c r="AA595" s="1"/>
      <c r="AB595" s="1"/>
      <c r="AC595" s="1"/>
      <c r="AD595" s="1"/>
      <c r="AE595" s="1"/>
      <c r="AF595" s="1"/>
      <c r="AG595" s="1"/>
      <c r="AH595" s="1"/>
      <c r="AI595" s="1"/>
    </row>
    <row r="596">
      <c r="A596" s="1"/>
      <c r="B596" s="3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35"/>
      <c r="Y596" s="35"/>
      <c r="Z596" s="35"/>
      <c r="AA596" s="1"/>
      <c r="AB596" s="1"/>
      <c r="AC596" s="1"/>
      <c r="AD596" s="1"/>
      <c r="AE596" s="1"/>
      <c r="AF596" s="1"/>
      <c r="AG596" s="1"/>
      <c r="AH596" s="1"/>
      <c r="AI596" s="1"/>
    </row>
    <row r="597">
      <c r="A597" s="1"/>
      <c r="B597" s="3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35"/>
      <c r="Y597" s="35"/>
      <c r="Z597" s="35"/>
      <c r="AA597" s="1"/>
      <c r="AB597" s="1"/>
      <c r="AC597" s="1"/>
      <c r="AD597" s="1"/>
      <c r="AE597" s="1"/>
      <c r="AF597" s="1"/>
      <c r="AG597" s="1"/>
      <c r="AH597" s="1"/>
      <c r="AI597" s="1"/>
    </row>
    <row r="598">
      <c r="A598" s="1"/>
      <c r="B598" s="3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35"/>
      <c r="Y598" s="35"/>
      <c r="Z598" s="35"/>
      <c r="AA598" s="1"/>
      <c r="AB598" s="1"/>
      <c r="AC598" s="1"/>
      <c r="AD598" s="1"/>
      <c r="AE598" s="1"/>
      <c r="AF598" s="1"/>
      <c r="AG598" s="1"/>
      <c r="AH598" s="1"/>
      <c r="AI598" s="1"/>
    </row>
    <row r="599">
      <c r="A599" s="1"/>
      <c r="B599" s="3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35"/>
      <c r="Y599" s="35"/>
      <c r="Z599" s="35"/>
      <c r="AA599" s="1"/>
      <c r="AB599" s="1"/>
      <c r="AC599" s="1"/>
      <c r="AD599" s="1"/>
      <c r="AE599" s="1"/>
      <c r="AF599" s="1"/>
      <c r="AG599" s="1"/>
      <c r="AH599" s="1"/>
      <c r="AI599" s="1"/>
    </row>
    <row r="600">
      <c r="A600" s="1"/>
      <c r="B600" s="3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35"/>
      <c r="Y600" s="35"/>
      <c r="Z600" s="35"/>
      <c r="AA600" s="1"/>
      <c r="AB600" s="1"/>
      <c r="AC600" s="1"/>
      <c r="AD600" s="1"/>
      <c r="AE600" s="1"/>
      <c r="AF600" s="1"/>
      <c r="AG600" s="1"/>
      <c r="AH600" s="1"/>
      <c r="AI600" s="1"/>
    </row>
    <row r="601">
      <c r="A601" s="1"/>
      <c r="B601" s="3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35"/>
      <c r="Y601" s="35"/>
      <c r="Z601" s="35"/>
      <c r="AA601" s="1"/>
      <c r="AB601" s="1"/>
      <c r="AC601" s="1"/>
      <c r="AD601" s="1"/>
      <c r="AE601" s="1"/>
      <c r="AF601" s="1"/>
      <c r="AG601" s="1"/>
      <c r="AH601" s="1"/>
      <c r="AI601" s="1"/>
    </row>
    <row r="602">
      <c r="A602" s="1"/>
      <c r="B602" s="3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35"/>
      <c r="Y602" s="35"/>
      <c r="Z602" s="35"/>
      <c r="AA602" s="1"/>
      <c r="AB602" s="1"/>
      <c r="AC602" s="1"/>
      <c r="AD602" s="1"/>
      <c r="AE602" s="1"/>
      <c r="AF602" s="1"/>
      <c r="AG602" s="1"/>
      <c r="AH602" s="1"/>
      <c r="AI602" s="1"/>
    </row>
    <row r="603">
      <c r="A603" s="1"/>
      <c r="B603" s="3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35"/>
      <c r="Y603" s="35"/>
      <c r="Z603" s="35"/>
      <c r="AA603" s="1"/>
      <c r="AB603" s="1"/>
      <c r="AC603" s="1"/>
      <c r="AD603" s="1"/>
      <c r="AE603" s="1"/>
      <c r="AF603" s="1"/>
      <c r="AG603" s="1"/>
      <c r="AH603" s="1"/>
      <c r="AI603" s="1"/>
    </row>
    <row r="604">
      <c r="A604" s="1"/>
      <c r="B604" s="3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35"/>
      <c r="Y604" s="35"/>
      <c r="Z604" s="35"/>
      <c r="AA604" s="1"/>
      <c r="AB604" s="1"/>
      <c r="AC604" s="1"/>
      <c r="AD604" s="1"/>
      <c r="AE604" s="1"/>
      <c r="AF604" s="1"/>
      <c r="AG604" s="1"/>
      <c r="AH604" s="1"/>
      <c r="AI604" s="1"/>
    </row>
    <row r="605">
      <c r="A605" s="1"/>
      <c r="B605" s="3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35"/>
      <c r="Y605" s="35"/>
      <c r="Z605" s="35"/>
      <c r="AA605" s="1"/>
      <c r="AB605" s="1"/>
      <c r="AC605" s="1"/>
      <c r="AD605" s="1"/>
      <c r="AE605" s="1"/>
      <c r="AF605" s="1"/>
      <c r="AG605" s="1"/>
      <c r="AH605" s="1"/>
      <c r="AI605" s="1"/>
    </row>
    <row r="606">
      <c r="A606" s="1"/>
      <c r="B606" s="3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35"/>
      <c r="Y606" s="35"/>
      <c r="Z606" s="35"/>
      <c r="AA606" s="1"/>
      <c r="AB606" s="1"/>
      <c r="AC606" s="1"/>
      <c r="AD606" s="1"/>
      <c r="AE606" s="1"/>
      <c r="AF606" s="1"/>
      <c r="AG606" s="1"/>
      <c r="AH606" s="1"/>
      <c r="AI606" s="1"/>
    </row>
    <row r="607">
      <c r="A607" s="1"/>
      <c r="B607" s="3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35"/>
      <c r="Y607" s="35"/>
      <c r="Z607" s="35"/>
      <c r="AA607" s="1"/>
      <c r="AB607" s="1"/>
      <c r="AC607" s="1"/>
      <c r="AD607" s="1"/>
      <c r="AE607" s="1"/>
      <c r="AF607" s="1"/>
      <c r="AG607" s="1"/>
      <c r="AH607" s="1"/>
      <c r="AI607" s="1"/>
    </row>
    <row r="608">
      <c r="A608" s="1"/>
      <c r="B608" s="3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35"/>
      <c r="Y608" s="35"/>
      <c r="Z608" s="35"/>
      <c r="AA608" s="1"/>
      <c r="AB608" s="1"/>
      <c r="AC608" s="1"/>
      <c r="AD608" s="1"/>
      <c r="AE608" s="1"/>
      <c r="AF608" s="1"/>
      <c r="AG608" s="1"/>
      <c r="AH608" s="1"/>
      <c r="AI608" s="1"/>
    </row>
    <row r="609">
      <c r="A609" s="1"/>
      <c r="B609" s="3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35"/>
      <c r="Y609" s="35"/>
      <c r="Z609" s="35"/>
      <c r="AA609" s="1"/>
      <c r="AB609" s="1"/>
      <c r="AC609" s="1"/>
      <c r="AD609" s="1"/>
      <c r="AE609" s="1"/>
      <c r="AF609" s="1"/>
      <c r="AG609" s="1"/>
      <c r="AH609" s="1"/>
      <c r="AI609" s="1"/>
    </row>
    <row r="610">
      <c r="A610" s="1"/>
      <c r="B610" s="3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35"/>
      <c r="Y610" s="35"/>
      <c r="Z610" s="35"/>
      <c r="AA610" s="1"/>
      <c r="AB610" s="1"/>
      <c r="AC610" s="1"/>
      <c r="AD610" s="1"/>
      <c r="AE610" s="1"/>
      <c r="AF610" s="1"/>
      <c r="AG610" s="1"/>
      <c r="AH610" s="1"/>
      <c r="AI610" s="1"/>
    </row>
    <row r="611">
      <c r="A611" s="1"/>
      <c r="B611" s="3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35"/>
      <c r="Y611" s="35"/>
      <c r="Z611" s="35"/>
      <c r="AA611" s="1"/>
      <c r="AB611" s="1"/>
      <c r="AC611" s="1"/>
      <c r="AD611" s="1"/>
      <c r="AE611" s="1"/>
      <c r="AF611" s="1"/>
      <c r="AG611" s="1"/>
      <c r="AH611" s="1"/>
      <c r="AI611" s="1"/>
    </row>
    <row r="612">
      <c r="A612" s="1"/>
      <c r="B612" s="3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35"/>
      <c r="Y612" s="35"/>
      <c r="Z612" s="35"/>
      <c r="AA612" s="1"/>
      <c r="AB612" s="1"/>
      <c r="AC612" s="1"/>
      <c r="AD612" s="1"/>
      <c r="AE612" s="1"/>
      <c r="AF612" s="1"/>
      <c r="AG612" s="1"/>
      <c r="AH612" s="1"/>
      <c r="AI612" s="1"/>
    </row>
    <row r="613">
      <c r="A613" s="1"/>
      <c r="B613" s="3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35"/>
      <c r="Y613" s="35"/>
      <c r="Z613" s="35"/>
      <c r="AA613" s="1"/>
      <c r="AB613" s="1"/>
      <c r="AC613" s="1"/>
      <c r="AD613" s="1"/>
      <c r="AE613" s="1"/>
      <c r="AF613" s="1"/>
      <c r="AG613" s="1"/>
      <c r="AH613" s="1"/>
      <c r="AI613" s="1"/>
    </row>
    <row r="614">
      <c r="A614" s="1"/>
      <c r="B614" s="3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35"/>
      <c r="Y614" s="35"/>
      <c r="Z614" s="35"/>
      <c r="AA614" s="1"/>
      <c r="AB614" s="1"/>
      <c r="AC614" s="1"/>
      <c r="AD614" s="1"/>
      <c r="AE614" s="1"/>
      <c r="AF614" s="1"/>
      <c r="AG614" s="1"/>
      <c r="AH614" s="1"/>
      <c r="AI614" s="1"/>
    </row>
    <row r="615">
      <c r="A615" s="1"/>
      <c r="B615" s="3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35"/>
      <c r="Y615" s="35"/>
      <c r="Z615" s="35"/>
      <c r="AA615" s="1"/>
      <c r="AB615" s="1"/>
      <c r="AC615" s="1"/>
      <c r="AD615" s="1"/>
      <c r="AE615" s="1"/>
      <c r="AF615" s="1"/>
      <c r="AG615" s="1"/>
      <c r="AH615" s="1"/>
      <c r="AI615" s="1"/>
    </row>
    <row r="616">
      <c r="A616" s="1"/>
      <c r="B616" s="3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35"/>
      <c r="Y616" s="35"/>
      <c r="Z616" s="35"/>
      <c r="AA616" s="1"/>
      <c r="AB616" s="1"/>
      <c r="AC616" s="1"/>
      <c r="AD616" s="1"/>
      <c r="AE616" s="1"/>
      <c r="AF616" s="1"/>
      <c r="AG616" s="1"/>
      <c r="AH616" s="1"/>
      <c r="AI616" s="1"/>
    </row>
    <row r="617">
      <c r="A617" s="1"/>
      <c r="B617" s="3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35"/>
      <c r="Y617" s="35"/>
      <c r="Z617" s="35"/>
      <c r="AA617" s="1"/>
      <c r="AB617" s="1"/>
      <c r="AC617" s="1"/>
      <c r="AD617" s="1"/>
      <c r="AE617" s="1"/>
      <c r="AF617" s="1"/>
      <c r="AG617" s="1"/>
      <c r="AH617" s="1"/>
      <c r="AI617" s="1"/>
    </row>
    <row r="618">
      <c r="A618" s="1"/>
      <c r="B618" s="3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35"/>
      <c r="Y618" s="35"/>
      <c r="Z618" s="35"/>
      <c r="AA618" s="1"/>
      <c r="AB618" s="1"/>
      <c r="AC618" s="1"/>
      <c r="AD618" s="1"/>
      <c r="AE618" s="1"/>
      <c r="AF618" s="1"/>
      <c r="AG618" s="1"/>
      <c r="AH618" s="1"/>
      <c r="AI618" s="1"/>
    </row>
    <row r="619">
      <c r="A619" s="1"/>
      <c r="B619" s="3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35"/>
      <c r="Y619" s="35"/>
      <c r="Z619" s="35"/>
      <c r="AA619" s="1"/>
      <c r="AB619" s="1"/>
      <c r="AC619" s="1"/>
      <c r="AD619" s="1"/>
      <c r="AE619" s="1"/>
      <c r="AF619" s="1"/>
      <c r="AG619" s="1"/>
      <c r="AH619" s="1"/>
      <c r="AI619" s="1"/>
    </row>
    <row r="620">
      <c r="A620" s="1"/>
      <c r="B620" s="3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35"/>
      <c r="Y620" s="35"/>
      <c r="Z620" s="35"/>
      <c r="AA620" s="1"/>
      <c r="AB620" s="1"/>
      <c r="AC620" s="1"/>
      <c r="AD620" s="1"/>
      <c r="AE620" s="1"/>
      <c r="AF620" s="1"/>
      <c r="AG620" s="1"/>
      <c r="AH620" s="1"/>
      <c r="AI620" s="1"/>
    </row>
    <row r="621">
      <c r="A621" s="1"/>
      <c r="B621" s="3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35"/>
      <c r="Y621" s="35"/>
      <c r="Z621" s="35"/>
      <c r="AA621" s="1"/>
      <c r="AB621" s="1"/>
      <c r="AC621" s="1"/>
      <c r="AD621" s="1"/>
      <c r="AE621" s="1"/>
      <c r="AF621" s="1"/>
      <c r="AG621" s="1"/>
      <c r="AH621" s="1"/>
      <c r="AI621" s="1"/>
    </row>
    <row r="622">
      <c r="A622" s="1"/>
      <c r="B622" s="3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35"/>
      <c r="Y622" s="35"/>
      <c r="Z622" s="35"/>
      <c r="AA622" s="1"/>
      <c r="AB622" s="1"/>
      <c r="AC622" s="1"/>
      <c r="AD622" s="1"/>
      <c r="AE622" s="1"/>
      <c r="AF622" s="1"/>
      <c r="AG622" s="1"/>
      <c r="AH622" s="1"/>
      <c r="AI622" s="1"/>
    </row>
    <row r="623">
      <c r="A623" s="1"/>
      <c r="B623" s="3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35"/>
      <c r="Y623" s="35"/>
      <c r="Z623" s="35"/>
      <c r="AA623" s="1"/>
      <c r="AB623" s="1"/>
      <c r="AC623" s="1"/>
      <c r="AD623" s="1"/>
      <c r="AE623" s="1"/>
      <c r="AF623" s="1"/>
      <c r="AG623" s="1"/>
      <c r="AH623" s="1"/>
      <c r="AI623" s="1"/>
    </row>
    <row r="624">
      <c r="A624" s="1"/>
      <c r="B624" s="3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35"/>
      <c r="Y624" s="35"/>
      <c r="Z624" s="35"/>
      <c r="AA624" s="1"/>
      <c r="AB624" s="1"/>
      <c r="AC624" s="1"/>
      <c r="AD624" s="1"/>
      <c r="AE624" s="1"/>
      <c r="AF624" s="1"/>
      <c r="AG624" s="1"/>
      <c r="AH624" s="1"/>
      <c r="AI624" s="1"/>
    </row>
    <row r="625">
      <c r="A625" s="1"/>
      <c r="B625" s="3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35"/>
      <c r="Y625" s="35"/>
      <c r="Z625" s="35"/>
      <c r="AA625" s="1"/>
      <c r="AB625" s="1"/>
      <c r="AC625" s="1"/>
      <c r="AD625" s="1"/>
      <c r="AE625" s="1"/>
      <c r="AF625" s="1"/>
      <c r="AG625" s="1"/>
      <c r="AH625" s="1"/>
      <c r="AI625" s="1"/>
    </row>
    <row r="626">
      <c r="A626" s="1"/>
      <c r="B626" s="3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35"/>
      <c r="Y626" s="35"/>
      <c r="Z626" s="35"/>
      <c r="AA626" s="1"/>
      <c r="AB626" s="1"/>
      <c r="AC626" s="1"/>
      <c r="AD626" s="1"/>
      <c r="AE626" s="1"/>
      <c r="AF626" s="1"/>
      <c r="AG626" s="1"/>
      <c r="AH626" s="1"/>
      <c r="AI626" s="1"/>
    </row>
    <row r="627">
      <c r="A627" s="1"/>
      <c r="B627" s="3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35"/>
      <c r="Y627" s="35"/>
      <c r="Z627" s="35"/>
      <c r="AA627" s="1"/>
      <c r="AB627" s="1"/>
      <c r="AC627" s="1"/>
      <c r="AD627" s="1"/>
      <c r="AE627" s="1"/>
      <c r="AF627" s="1"/>
      <c r="AG627" s="1"/>
      <c r="AH627" s="1"/>
      <c r="AI627" s="1"/>
    </row>
    <row r="628">
      <c r="A628" s="1"/>
      <c r="B628" s="3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35"/>
      <c r="Y628" s="35"/>
      <c r="Z628" s="35"/>
      <c r="AA628" s="1"/>
      <c r="AB628" s="1"/>
      <c r="AC628" s="1"/>
      <c r="AD628" s="1"/>
      <c r="AE628" s="1"/>
      <c r="AF628" s="1"/>
      <c r="AG628" s="1"/>
      <c r="AH628" s="1"/>
      <c r="AI628" s="1"/>
    </row>
    <row r="629">
      <c r="A629" s="1"/>
      <c r="B629" s="3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35"/>
      <c r="Y629" s="35"/>
      <c r="Z629" s="35"/>
      <c r="AA629" s="1"/>
      <c r="AB629" s="1"/>
      <c r="AC629" s="1"/>
      <c r="AD629" s="1"/>
      <c r="AE629" s="1"/>
      <c r="AF629" s="1"/>
      <c r="AG629" s="1"/>
      <c r="AH629" s="1"/>
      <c r="AI629" s="1"/>
    </row>
    <row r="630">
      <c r="A630" s="1"/>
      <c r="B630" s="3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35"/>
      <c r="Y630" s="35"/>
      <c r="Z630" s="35"/>
      <c r="AA630" s="1"/>
      <c r="AB630" s="1"/>
      <c r="AC630" s="1"/>
      <c r="AD630" s="1"/>
      <c r="AE630" s="1"/>
      <c r="AF630" s="1"/>
      <c r="AG630" s="1"/>
      <c r="AH630" s="1"/>
      <c r="AI630" s="1"/>
    </row>
    <row r="631">
      <c r="A631" s="1"/>
      <c r="B631" s="3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35"/>
      <c r="Y631" s="35"/>
      <c r="Z631" s="35"/>
      <c r="AA631" s="1"/>
      <c r="AB631" s="1"/>
      <c r="AC631" s="1"/>
      <c r="AD631" s="1"/>
      <c r="AE631" s="1"/>
      <c r="AF631" s="1"/>
      <c r="AG631" s="1"/>
      <c r="AH631" s="1"/>
      <c r="AI631" s="1"/>
    </row>
    <row r="632">
      <c r="A632" s="1"/>
      <c r="B632" s="3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35"/>
      <c r="Y632" s="35"/>
      <c r="Z632" s="35"/>
      <c r="AA632" s="1"/>
      <c r="AB632" s="1"/>
      <c r="AC632" s="1"/>
      <c r="AD632" s="1"/>
      <c r="AE632" s="1"/>
      <c r="AF632" s="1"/>
      <c r="AG632" s="1"/>
      <c r="AH632" s="1"/>
      <c r="AI632" s="1"/>
    </row>
    <row r="633">
      <c r="A633" s="1"/>
      <c r="B633" s="3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35"/>
      <c r="Y633" s="35"/>
      <c r="Z633" s="35"/>
      <c r="AA633" s="1"/>
      <c r="AB633" s="1"/>
      <c r="AC633" s="1"/>
      <c r="AD633" s="1"/>
      <c r="AE633" s="1"/>
      <c r="AF633" s="1"/>
      <c r="AG633" s="1"/>
      <c r="AH633" s="1"/>
      <c r="AI633" s="1"/>
    </row>
    <row r="634">
      <c r="A634" s="1"/>
      <c r="B634" s="3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35"/>
      <c r="Y634" s="35"/>
      <c r="Z634" s="35"/>
      <c r="AA634" s="1"/>
      <c r="AB634" s="1"/>
      <c r="AC634" s="1"/>
      <c r="AD634" s="1"/>
      <c r="AE634" s="1"/>
      <c r="AF634" s="1"/>
      <c r="AG634" s="1"/>
      <c r="AH634" s="1"/>
      <c r="AI634" s="1"/>
    </row>
    <row r="635">
      <c r="A635" s="1"/>
      <c r="B635" s="3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35"/>
      <c r="Y635" s="35"/>
      <c r="Z635" s="35"/>
      <c r="AA635" s="1"/>
      <c r="AB635" s="1"/>
      <c r="AC635" s="1"/>
      <c r="AD635" s="1"/>
      <c r="AE635" s="1"/>
      <c r="AF635" s="1"/>
      <c r="AG635" s="1"/>
      <c r="AH635" s="1"/>
      <c r="AI635" s="1"/>
    </row>
    <row r="636">
      <c r="A636" s="1"/>
      <c r="B636" s="3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35"/>
      <c r="Y636" s="35"/>
      <c r="Z636" s="35"/>
      <c r="AA636" s="1"/>
      <c r="AB636" s="1"/>
      <c r="AC636" s="1"/>
      <c r="AD636" s="1"/>
      <c r="AE636" s="1"/>
      <c r="AF636" s="1"/>
      <c r="AG636" s="1"/>
      <c r="AH636" s="1"/>
      <c r="AI636" s="1"/>
    </row>
    <row r="637">
      <c r="A637" s="1"/>
      <c r="B637" s="3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35"/>
      <c r="Y637" s="35"/>
      <c r="Z637" s="35"/>
      <c r="AA637" s="1"/>
      <c r="AB637" s="1"/>
      <c r="AC637" s="1"/>
      <c r="AD637" s="1"/>
      <c r="AE637" s="1"/>
      <c r="AF637" s="1"/>
      <c r="AG637" s="1"/>
      <c r="AH637" s="1"/>
      <c r="AI637" s="1"/>
    </row>
    <row r="638">
      <c r="A638" s="1"/>
      <c r="B638" s="3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35"/>
      <c r="Y638" s="35"/>
      <c r="Z638" s="35"/>
      <c r="AA638" s="1"/>
      <c r="AB638" s="1"/>
      <c r="AC638" s="1"/>
      <c r="AD638" s="1"/>
      <c r="AE638" s="1"/>
      <c r="AF638" s="1"/>
      <c r="AG638" s="1"/>
      <c r="AH638" s="1"/>
      <c r="AI638" s="1"/>
    </row>
    <row r="639">
      <c r="A639" s="1"/>
      <c r="B639" s="3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35"/>
      <c r="Y639" s="35"/>
      <c r="Z639" s="35"/>
      <c r="AA639" s="1"/>
      <c r="AB639" s="1"/>
      <c r="AC639" s="1"/>
      <c r="AD639" s="1"/>
      <c r="AE639" s="1"/>
      <c r="AF639" s="1"/>
      <c r="AG639" s="1"/>
      <c r="AH639" s="1"/>
      <c r="AI639" s="1"/>
    </row>
    <row r="640">
      <c r="A640" s="1"/>
      <c r="B640" s="3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35"/>
      <c r="Y640" s="35"/>
      <c r="Z640" s="35"/>
      <c r="AA640" s="1"/>
      <c r="AB640" s="1"/>
      <c r="AC640" s="1"/>
      <c r="AD640" s="1"/>
      <c r="AE640" s="1"/>
      <c r="AF640" s="1"/>
      <c r="AG640" s="1"/>
      <c r="AH640" s="1"/>
      <c r="AI640" s="1"/>
    </row>
    <row r="641">
      <c r="A641" s="1"/>
      <c r="B641" s="3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35"/>
      <c r="Y641" s="35"/>
      <c r="Z641" s="35"/>
      <c r="AA641" s="1"/>
      <c r="AB641" s="1"/>
      <c r="AC641" s="1"/>
      <c r="AD641" s="1"/>
      <c r="AE641" s="1"/>
      <c r="AF641" s="1"/>
      <c r="AG641" s="1"/>
      <c r="AH641" s="1"/>
      <c r="AI641" s="1"/>
    </row>
    <row r="642">
      <c r="A642" s="1"/>
      <c r="B642" s="3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35"/>
      <c r="Y642" s="35"/>
      <c r="Z642" s="35"/>
      <c r="AA642" s="1"/>
      <c r="AB642" s="1"/>
      <c r="AC642" s="1"/>
      <c r="AD642" s="1"/>
      <c r="AE642" s="1"/>
      <c r="AF642" s="1"/>
      <c r="AG642" s="1"/>
      <c r="AH642" s="1"/>
      <c r="AI642" s="1"/>
    </row>
    <row r="643">
      <c r="A643" s="1"/>
      <c r="B643" s="3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35"/>
      <c r="Y643" s="35"/>
      <c r="Z643" s="35"/>
      <c r="AA643" s="1"/>
      <c r="AB643" s="1"/>
      <c r="AC643" s="1"/>
      <c r="AD643" s="1"/>
      <c r="AE643" s="1"/>
      <c r="AF643" s="1"/>
      <c r="AG643" s="1"/>
      <c r="AH643" s="1"/>
      <c r="AI643" s="1"/>
    </row>
    <row r="644">
      <c r="A644" s="1"/>
      <c r="B644" s="3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35"/>
      <c r="Y644" s="35"/>
      <c r="Z644" s="35"/>
      <c r="AA644" s="1"/>
      <c r="AB644" s="1"/>
      <c r="AC644" s="1"/>
      <c r="AD644" s="1"/>
      <c r="AE644" s="1"/>
      <c r="AF644" s="1"/>
      <c r="AG644" s="1"/>
      <c r="AH644" s="1"/>
      <c r="AI644" s="1"/>
    </row>
    <row r="645">
      <c r="A645" s="1"/>
      <c r="B645" s="3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35"/>
      <c r="Y645" s="35"/>
      <c r="Z645" s="35"/>
      <c r="AA645" s="1"/>
      <c r="AB645" s="1"/>
      <c r="AC645" s="1"/>
      <c r="AD645" s="1"/>
      <c r="AE645" s="1"/>
      <c r="AF645" s="1"/>
      <c r="AG645" s="1"/>
      <c r="AH645" s="1"/>
      <c r="AI645" s="1"/>
    </row>
    <row r="646">
      <c r="A646" s="1"/>
      <c r="B646" s="3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35"/>
      <c r="Y646" s="35"/>
      <c r="Z646" s="35"/>
      <c r="AA646" s="1"/>
      <c r="AB646" s="1"/>
      <c r="AC646" s="1"/>
      <c r="AD646" s="1"/>
      <c r="AE646" s="1"/>
      <c r="AF646" s="1"/>
      <c r="AG646" s="1"/>
      <c r="AH646" s="1"/>
      <c r="AI646" s="1"/>
    </row>
    <row r="647">
      <c r="A647" s="1"/>
      <c r="B647" s="3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35"/>
      <c r="Y647" s="35"/>
      <c r="Z647" s="35"/>
      <c r="AA647" s="1"/>
      <c r="AB647" s="1"/>
      <c r="AC647" s="1"/>
      <c r="AD647" s="1"/>
      <c r="AE647" s="1"/>
      <c r="AF647" s="1"/>
      <c r="AG647" s="1"/>
      <c r="AH647" s="1"/>
      <c r="AI647" s="1"/>
    </row>
    <row r="648">
      <c r="A648" s="1"/>
      <c r="B648" s="3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35"/>
      <c r="Y648" s="35"/>
      <c r="Z648" s="35"/>
      <c r="AA648" s="1"/>
      <c r="AB648" s="1"/>
      <c r="AC648" s="1"/>
      <c r="AD648" s="1"/>
      <c r="AE648" s="1"/>
      <c r="AF648" s="1"/>
      <c r="AG648" s="1"/>
      <c r="AH648" s="1"/>
      <c r="AI648" s="1"/>
    </row>
    <row r="649">
      <c r="A649" s="1"/>
      <c r="B649" s="3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35"/>
      <c r="Y649" s="35"/>
      <c r="Z649" s="35"/>
      <c r="AA649" s="1"/>
      <c r="AB649" s="1"/>
      <c r="AC649" s="1"/>
      <c r="AD649" s="1"/>
      <c r="AE649" s="1"/>
      <c r="AF649" s="1"/>
      <c r="AG649" s="1"/>
      <c r="AH649" s="1"/>
      <c r="AI649" s="1"/>
    </row>
    <row r="650">
      <c r="A650" s="1"/>
      <c r="B650" s="3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35"/>
      <c r="Y650" s="35"/>
      <c r="Z650" s="35"/>
      <c r="AA650" s="1"/>
      <c r="AB650" s="1"/>
      <c r="AC650" s="1"/>
      <c r="AD650" s="1"/>
      <c r="AE650" s="1"/>
      <c r="AF650" s="1"/>
      <c r="AG650" s="1"/>
      <c r="AH650" s="1"/>
      <c r="AI650" s="1"/>
    </row>
    <row r="651">
      <c r="A651" s="1"/>
      <c r="B651" s="3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35"/>
      <c r="Y651" s="35"/>
      <c r="Z651" s="35"/>
      <c r="AA651" s="1"/>
      <c r="AB651" s="1"/>
      <c r="AC651" s="1"/>
      <c r="AD651" s="1"/>
      <c r="AE651" s="1"/>
      <c r="AF651" s="1"/>
      <c r="AG651" s="1"/>
      <c r="AH651" s="1"/>
      <c r="AI651" s="1"/>
    </row>
    <row r="652">
      <c r="A652" s="1"/>
      <c r="B652" s="3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35"/>
      <c r="Y652" s="35"/>
      <c r="Z652" s="35"/>
      <c r="AA652" s="1"/>
      <c r="AB652" s="1"/>
      <c r="AC652" s="1"/>
      <c r="AD652" s="1"/>
      <c r="AE652" s="1"/>
      <c r="AF652" s="1"/>
      <c r="AG652" s="1"/>
      <c r="AH652" s="1"/>
      <c r="AI652" s="1"/>
    </row>
    <row r="653">
      <c r="A653" s="1"/>
      <c r="B653" s="3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35"/>
      <c r="Y653" s="35"/>
      <c r="Z653" s="35"/>
      <c r="AA653" s="1"/>
      <c r="AB653" s="1"/>
      <c r="AC653" s="1"/>
      <c r="AD653" s="1"/>
      <c r="AE653" s="1"/>
      <c r="AF653" s="1"/>
      <c r="AG653" s="1"/>
      <c r="AH653" s="1"/>
      <c r="AI653" s="1"/>
    </row>
    <row r="654">
      <c r="A654" s="1"/>
      <c r="B654" s="3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35"/>
      <c r="Y654" s="35"/>
      <c r="Z654" s="35"/>
      <c r="AA654" s="1"/>
      <c r="AB654" s="1"/>
      <c r="AC654" s="1"/>
      <c r="AD654" s="1"/>
      <c r="AE654" s="1"/>
      <c r="AF654" s="1"/>
      <c r="AG654" s="1"/>
      <c r="AH654" s="1"/>
      <c r="AI654" s="1"/>
    </row>
    <row r="655">
      <c r="A655" s="1"/>
      <c r="B655" s="3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35"/>
      <c r="Y655" s="35"/>
      <c r="Z655" s="35"/>
      <c r="AA655" s="1"/>
      <c r="AB655" s="1"/>
      <c r="AC655" s="1"/>
      <c r="AD655" s="1"/>
      <c r="AE655" s="1"/>
      <c r="AF655" s="1"/>
      <c r="AG655" s="1"/>
      <c r="AH655" s="1"/>
      <c r="AI655" s="1"/>
    </row>
    <row r="656">
      <c r="A656" s="1"/>
      <c r="B656" s="3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35"/>
      <c r="Y656" s="35"/>
      <c r="Z656" s="35"/>
      <c r="AA656" s="1"/>
      <c r="AB656" s="1"/>
      <c r="AC656" s="1"/>
      <c r="AD656" s="1"/>
      <c r="AE656" s="1"/>
      <c r="AF656" s="1"/>
      <c r="AG656" s="1"/>
      <c r="AH656" s="1"/>
      <c r="AI656" s="1"/>
    </row>
    <row r="657">
      <c r="A657" s="1"/>
      <c r="B657" s="3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35"/>
      <c r="Y657" s="35"/>
      <c r="Z657" s="35"/>
      <c r="AA657" s="1"/>
      <c r="AB657" s="1"/>
      <c r="AC657" s="1"/>
      <c r="AD657" s="1"/>
      <c r="AE657" s="1"/>
      <c r="AF657" s="1"/>
      <c r="AG657" s="1"/>
      <c r="AH657" s="1"/>
      <c r="AI657" s="1"/>
    </row>
    <row r="658">
      <c r="A658" s="1"/>
      <c r="B658" s="3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35"/>
      <c r="Y658" s="35"/>
      <c r="Z658" s="35"/>
      <c r="AA658" s="1"/>
      <c r="AB658" s="1"/>
      <c r="AC658" s="1"/>
      <c r="AD658" s="1"/>
      <c r="AE658" s="1"/>
      <c r="AF658" s="1"/>
      <c r="AG658" s="1"/>
      <c r="AH658" s="1"/>
      <c r="AI658" s="1"/>
    </row>
    <row r="659">
      <c r="A659" s="1"/>
      <c r="B659" s="3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35"/>
      <c r="Y659" s="35"/>
      <c r="Z659" s="35"/>
      <c r="AA659" s="1"/>
      <c r="AB659" s="1"/>
      <c r="AC659" s="1"/>
      <c r="AD659" s="1"/>
      <c r="AE659" s="1"/>
      <c r="AF659" s="1"/>
      <c r="AG659" s="1"/>
      <c r="AH659" s="1"/>
      <c r="AI659" s="1"/>
    </row>
    <row r="660">
      <c r="A660" s="1"/>
      <c r="B660" s="3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35"/>
      <c r="Y660" s="35"/>
      <c r="Z660" s="35"/>
      <c r="AA660" s="1"/>
      <c r="AB660" s="1"/>
      <c r="AC660" s="1"/>
      <c r="AD660" s="1"/>
      <c r="AE660" s="1"/>
      <c r="AF660" s="1"/>
      <c r="AG660" s="1"/>
      <c r="AH660" s="1"/>
      <c r="AI660" s="1"/>
    </row>
    <row r="661">
      <c r="A661" s="1"/>
      <c r="B661" s="3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35"/>
      <c r="Y661" s="35"/>
      <c r="Z661" s="35"/>
      <c r="AA661" s="1"/>
      <c r="AB661" s="1"/>
      <c r="AC661" s="1"/>
      <c r="AD661" s="1"/>
      <c r="AE661" s="1"/>
      <c r="AF661" s="1"/>
      <c r="AG661" s="1"/>
      <c r="AH661" s="1"/>
      <c r="AI661" s="1"/>
    </row>
    <row r="662">
      <c r="A662" s="1"/>
      <c r="B662" s="3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35"/>
      <c r="Y662" s="35"/>
      <c r="Z662" s="35"/>
      <c r="AA662" s="1"/>
      <c r="AB662" s="1"/>
      <c r="AC662" s="1"/>
      <c r="AD662" s="1"/>
      <c r="AE662" s="1"/>
      <c r="AF662" s="1"/>
      <c r="AG662" s="1"/>
      <c r="AH662" s="1"/>
      <c r="AI662" s="1"/>
    </row>
    <row r="663">
      <c r="A663" s="1"/>
      <c r="B663" s="3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35"/>
      <c r="Y663" s="35"/>
      <c r="Z663" s="35"/>
      <c r="AA663" s="1"/>
      <c r="AB663" s="1"/>
      <c r="AC663" s="1"/>
      <c r="AD663" s="1"/>
      <c r="AE663" s="1"/>
      <c r="AF663" s="1"/>
      <c r="AG663" s="1"/>
      <c r="AH663" s="1"/>
      <c r="AI663" s="1"/>
    </row>
    <row r="664">
      <c r="A664" s="1"/>
      <c r="B664" s="3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35"/>
      <c r="Y664" s="35"/>
      <c r="Z664" s="35"/>
      <c r="AA664" s="1"/>
      <c r="AB664" s="1"/>
      <c r="AC664" s="1"/>
      <c r="AD664" s="1"/>
      <c r="AE664" s="1"/>
      <c r="AF664" s="1"/>
      <c r="AG664" s="1"/>
      <c r="AH664" s="1"/>
      <c r="AI664" s="1"/>
    </row>
    <row r="665">
      <c r="A665" s="1"/>
      <c r="B665" s="3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35"/>
      <c r="Y665" s="35"/>
      <c r="Z665" s="35"/>
      <c r="AA665" s="1"/>
      <c r="AB665" s="1"/>
      <c r="AC665" s="1"/>
      <c r="AD665" s="1"/>
      <c r="AE665" s="1"/>
      <c r="AF665" s="1"/>
      <c r="AG665" s="1"/>
      <c r="AH665" s="1"/>
      <c r="AI665" s="1"/>
    </row>
    <row r="666">
      <c r="A666" s="1"/>
      <c r="B666" s="3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35"/>
      <c r="Y666" s="35"/>
      <c r="Z666" s="35"/>
      <c r="AA666" s="1"/>
      <c r="AB666" s="1"/>
      <c r="AC666" s="1"/>
      <c r="AD666" s="1"/>
      <c r="AE666" s="1"/>
      <c r="AF666" s="1"/>
      <c r="AG666" s="1"/>
      <c r="AH666" s="1"/>
      <c r="AI666" s="1"/>
    </row>
    <row r="667">
      <c r="A667" s="1"/>
      <c r="B667" s="3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35"/>
      <c r="Y667" s="35"/>
      <c r="Z667" s="35"/>
      <c r="AA667" s="1"/>
      <c r="AB667" s="1"/>
      <c r="AC667" s="1"/>
      <c r="AD667" s="1"/>
      <c r="AE667" s="1"/>
      <c r="AF667" s="1"/>
      <c r="AG667" s="1"/>
      <c r="AH667" s="1"/>
      <c r="AI667" s="1"/>
    </row>
    <row r="668">
      <c r="A668" s="1"/>
      <c r="B668" s="3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35"/>
      <c r="Y668" s="35"/>
      <c r="Z668" s="35"/>
      <c r="AA668" s="1"/>
      <c r="AB668" s="1"/>
      <c r="AC668" s="1"/>
      <c r="AD668" s="1"/>
      <c r="AE668" s="1"/>
      <c r="AF668" s="1"/>
      <c r="AG668" s="1"/>
      <c r="AH668" s="1"/>
      <c r="AI668" s="1"/>
    </row>
    <row r="669">
      <c r="A669" s="1"/>
      <c r="B669" s="3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35"/>
      <c r="Y669" s="35"/>
      <c r="Z669" s="35"/>
      <c r="AA669" s="1"/>
      <c r="AB669" s="1"/>
      <c r="AC669" s="1"/>
      <c r="AD669" s="1"/>
      <c r="AE669" s="1"/>
      <c r="AF669" s="1"/>
      <c r="AG669" s="1"/>
      <c r="AH669" s="1"/>
      <c r="AI669" s="1"/>
    </row>
    <row r="670">
      <c r="A670" s="1"/>
      <c r="B670" s="3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35"/>
      <c r="Y670" s="35"/>
      <c r="Z670" s="35"/>
      <c r="AA670" s="1"/>
      <c r="AB670" s="1"/>
      <c r="AC670" s="1"/>
      <c r="AD670" s="1"/>
      <c r="AE670" s="1"/>
      <c r="AF670" s="1"/>
      <c r="AG670" s="1"/>
      <c r="AH670" s="1"/>
      <c r="AI670" s="1"/>
    </row>
    <row r="671">
      <c r="A671" s="1"/>
      <c r="B671" s="3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35"/>
      <c r="Y671" s="35"/>
      <c r="Z671" s="35"/>
      <c r="AA671" s="1"/>
      <c r="AB671" s="1"/>
      <c r="AC671" s="1"/>
      <c r="AD671" s="1"/>
      <c r="AE671" s="1"/>
      <c r="AF671" s="1"/>
      <c r="AG671" s="1"/>
      <c r="AH671" s="1"/>
      <c r="AI671" s="1"/>
    </row>
    <row r="672">
      <c r="A672" s="1"/>
      <c r="B672" s="3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35"/>
      <c r="Y672" s="35"/>
      <c r="Z672" s="35"/>
      <c r="AA672" s="1"/>
      <c r="AB672" s="1"/>
      <c r="AC672" s="1"/>
      <c r="AD672" s="1"/>
      <c r="AE672" s="1"/>
      <c r="AF672" s="1"/>
      <c r="AG672" s="1"/>
      <c r="AH672" s="1"/>
      <c r="AI672" s="1"/>
    </row>
    <row r="673">
      <c r="A673" s="1"/>
      <c r="B673" s="3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35"/>
      <c r="Y673" s="35"/>
      <c r="Z673" s="35"/>
      <c r="AA673" s="1"/>
      <c r="AB673" s="1"/>
      <c r="AC673" s="1"/>
      <c r="AD673" s="1"/>
      <c r="AE673" s="1"/>
      <c r="AF673" s="1"/>
      <c r="AG673" s="1"/>
      <c r="AH673" s="1"/>
      <c r="AI673" s="1"/>
    </row>
    <row r="674">
      <c r="A674" s="1"/>
      <c r="B674" s="3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35"/>
      <c r="Y674" s="35"/>
      <c r="Z674" s="35"/>
      <c r="AA674" s="1"/>
      <c r="AB674" s="1"/>
      <c r="AC674" s="1"/>
      <c r="AD674" s="1"/>
      <c r="AE674" s="1"/>
      <c r="AF674" s="1"/>
      <c r="AG674" s="1"/>
      <c r="AH674" s="1"/>
      <c r="AI674" s="1"/>
    </row>
    <row r="675">
      <c r="A675" s="1"/>
      <c r="B675" s="3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35"/>
      <c r="Y675" s="35"/>
      <c r="Z675" s="35"/>
      <c r="AA675" s="1"/>
      <c r="AB675" s="1"/>
      <c r="AC675" s="1"/>
      <c r="AD675" s="1"/>
      <c r="AE675" s="1"/>
      <c r="AF675" s="1"/>
      <c r="AG675" s="1"/>
      <c r="AH675" s="1"/>
      <c r="AI675" s="1"/>
    </row>
    <row r="676">
      <c r="A676" s="1"/>
      <c r="B676" s="3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35"/>
      <c r="Y676" s="35"/>
      <c r="Z676" s="35"/>
      <c r="AA676" s="1"/>
      <c r="AB676" s="1"/>
      <c r="AC676" s="1"/>
      <c r="AD676" s="1"/>
      <c r="AE676" s="1"/>
      <c r="AF676" s="1"/>
      <c r="AG676" s="1"/>
      <c r="AH676" s="1"/>
      <c r="AI676" s="1"/>
    </row>
    <row r="677">
      <c r="A677" s="1"/>
      <c r="B677" s="3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35"/>
      <c r="Y677" s="35"/>
      <c r="Z677" s="35"/>
      <c r="AA677" s="1"/>
      <c r="AB677" s="1"/>
      <c r="AC677" s="1"/>
      <c r="AD677" s="1"/>
      <c r="AE677" s="1"/>
      <c r="AF677" s="1"/>
      <c r="AG677" s="1"/>
      <c r="AH677" s="1"/>
      <c r="AI677" s="1"/>
    </row>
    <row r="678">
      <c r="A678" s="1"/>
      <c r="B678" s="3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35"/>
      <c r="Y678" s="35"/>
      <c r="Z678" s="35"/>
      <c r="AA678" s="1"/>
      <c r="AB678" s="1"/>
      <c r="AC678" s="1"/>
      <c r="AD678" s="1"/>
      <c r="AE678" s="1"/>
      <c r="AF678" s="1"/>
      <c r="AG678" s="1"/>
      <c r="AH678" s="1"/>
      <c r="AI678" s="1"/>
    </row>
    <row r="679">
      <c r="A679" s="1"/>
      <c r="B679" s="3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35"/>
      <c r="Y679" s="35"/>
      <c r="Z679" s="35"/>
      <c r="AA679" s="1"/>
      <c r="AB679" s="1"/>
      <c r="AC679" s="1"/>
      <c r="AD679" s="1"/>
      <c r="AE679" s="1"/>
      <c r="AF679" s="1"/>
      <c r="AG679" s="1"/>
      <c r="AH679" s="1"/>
      <c r="AI679" s="1"/>
    </row>
    <row r="680">
      <c r="A680" s="1"/>
      <c r="B680" s="3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35"/>
      <c r="Y680" s="35"/>
      <c r="Z680" s="35"/>
      <c r="AA680" s="1"/>
      <c r="AB680" s="1"/>
      <c r="AC680" s="1"/>
      <c r="AD680" s="1"/>
      <c r="AE680" s="1"/>
      <c r="AF680" s="1"/>
      <c r="AG680" s="1"/>
      <c r="AH680" s="1"/>
      <c r="AI680" s="1"/>
    </row>
    <row r="681">
      <c r="A681" s="1"/>
      <c r="B681" s="3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35"/>
      <c r="Y681" s="35"/>
      <c r="Z681" s="35"/>
      <c r="AA681" s="1"/>
      <c r="AB681" s="1"/>
      <c r="AC681" s="1"/>
      <c r="AD681" s="1"/>
      <c r="AE681" s="1"/>
      <c r="AF681" s="1"/>
      <c r="AG681" s="1"/>
      <c r="AH681" s="1"/>
      <c r="AI681" s="1"/>
    </row>
    <row r="682">
      <c r="A682" s="1"/>
      <c r="B682" s="3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35"/>
      <c r="Y682" s="35"/>
      <c r="Z682" s="35"/>
      <c r="AA682" s="1"/>
      <c r="AB682" s="1"/>
      <c r="AC682" s="1"/>
      <c r="AD682" s="1"/>
      <c r="AE682" s="1"/>
      <c r="AF682" s="1"/>
      <c r="AG682" s="1"/>
      <c r="AH682" s="1"/>
      <c r="AI682" s="1"/>
    </row>
    <row r="683">
      <c r="A683" s="1"/>
      <c r="B683" s="3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35"/>
      <c r="Y683" s="35"/>
      <c r="Z683" s="35"/>
      <c r="AA683" s="1"/>
      <c r="AB683" s="1"/>
      <c r="AC683" s="1"/>
      <c r="AD683" s="1"/>
      <c r="AE683" s="1"/>
      <c r="AF683" s="1"/>
      <c r="AG683" s="1"/>
      <c r="AH683" s="1"/>
      <c r="AI683" s="1"/>
    </row>
    <row r="684">
      <c r="A684" s="1"/>
      <c r="B684" s="3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35"/>
      <c r="Y684" s="35"/>
      <c r="Z684" s="35"/>
      <c r="AA684" s="1"/>
      <c r="AB684" s="1"/>
      <c r="AC684" s="1"/>
      <c r="AD684" s="1"/>
      <c r="AE684" s="1"/>
      <c r="AF684" s="1"/>
      <c r="AG684" s="1"/>
      <c r="AH684" s="1"/>
      <c r="AI684" s="1"/>
    </row>
    <row r="685">
      <c r="A685" s="1"/>
      <c r="B685" s="3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35"/>
      <c r="Y685" s="35"/>
      <c r="Z685" s="35"/>
      <c r="AA685" s="1"/>
      <c r="AB685" s="1"/>
      <c r="AC685" s="1"/>
      <c r="AD685" s="1"/>
      <c r="AE685" s="1"/>
      <c r="AF685" s="1"/>
      <c r="AG685" s="1"/>
      <c r="AH685" s="1"/>
      <c r="AI685" s="1"/>
    </row>
    <row r="686">
      <c r="A686" s="1"/>
      <c r="B686" s="3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35"/>
      <c r="Y686" s="35"/>
      <c r="Z686" s="35"/>
      <c r="AA686" s="1"/>
      <c r="AB686" s="1"/>
      <c r="AC686" s="1"/>
      <c r="AD686" s="1"/>
      <c r="AE686" s="1"/>
      <c r="AF686" s="1"/>
      <c r="AG686" s="1"/>
      <c r="AH686" s="1"/>
      <c r="AI686" s="1"/>
    </row>
    <row r="687">
      <c r="A687" s="1"/>
      <c r="B687" s="3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35"/>
      <c r="Y687" s="35"/>
      <c r="Z687" s="35"/>
      <c r="AA687" s="1"/>
      <c r="AB687" s="1"/>
      <c r="AC687" s="1"/>
      <c r="AD687" s="1"/>
      <c r="AE687" s="1"/>
      <c r="AF687" s="1"/>
      <c r="AG687" s="1"/>
      <c r="AH687" s="1"/>
      <c r="AI687" s="1"/>
    </row>
    <row r="688">
      <c r="A688" s="1"/>
      <c r="B688" s="3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35"/>
      <c r="Y688" s="35"/>
      <c r="Z688" s="35"/>
      <c r="AA688" s="1"/>
      <c r="AB688" s="1"/>
      <c r="AC688" s="1"/>
      <c r="AD688" s="1"/>
      <c r="AE688" s="1"/>
      <c r="AF688" s="1"/>
      <c r="AG688" s="1"/>
      <c r="AH688" s="1"/>
      <c r="AI688" s="1"/>
    </row>
    <row r="689">
      <c r="A689" s="1"/>
      <c r="B689" s="3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35"/>
      <c r="Y689" s="35"/>
      <c r="Z689" s="35"/>
      <c r="AA689" s="1"/>
      <c r="AB689" s="1"/>
      <c r="AC689" s="1"/>
      <c r="AD689" s="1"/>
      <c r="AE689" s="1"/>
      <c r="AF689" s="1"/>
      <c r="AG689" s="1"/>
      <c r="AH689" s="1"/>
      <c r="AI689" s="1"/>
    </row>
    <row r="690">
      <c r="A690" s="1"/>
      <c r="B690" s="3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35"/>
      <c r="Y690" s="35"/>
      <c r="Z690" s="35"/>
      <c r="AA690" s="1"/>
      <c r="AB690" s="1"/>
      <c r="AC690" s="1"/>
      <c r="AD690" s="1"/>
      <c r="AE690" s="1"/>
      <c r="AF690" s="1"/>
      <c r="AG690" s="1"/>
      <c r="AH690" s="1"/>
      <c r="AI690" s="1"/>
    </row>
    <row r="691">
      <c r="A691" s="1"/>
      <c r="B691" s="3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35"/>
      <c r="Y691" s="35"/>
      <c r="Z691" s="35"/>
      <c r="AA691" s="1"/>
      <c r="AB691" s="1"/>
      <c r="AC691" s="1"/>
      <c r="AD691" s="1"/>
      <c r="AE691" s="1"/>
      <c r="AF691" s="1"/>
      <c r="AG691" s="1"/>
      <c r="AH691" s="1"/>
      <c r="AI691" s="1"/>
    </row>
    <row r="692">
      <c r="A692" s="1"/>
      <c r="B692" s="3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35"/>
      <c r="Y692" s="35"/>
      <c r="Z692" s="35"/>
      <c r="AA692" s="1"/>
      <c r="AB692" s="1"/>
      <c r="AC692" s="1"/>
      <c r="AD692" s="1"/>
      <c r="AE692" s="1"/>
      <c r="AF692" s="1"/>
      <c r="AG692" s="1"/>
      <c r="AH692" s="1"/>
      <c r="AI692" s="1"/>
    </row>
    <row r="693">
      <c r="A693" s="1"/>
      <c r="B693" s="3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35"/>
      <c r="Y693" s="35"/>
      <c r="Z693" s="35"/>
      <c r="AA693" s="1"/>
      <c r="AB693" s="1"/>
      <c r="AC693" s="1"/>
      <c r="AD693" s="1"/>
      <c r="AE693" s="1"/>
      <c r="AF693" s="1"/>
      <c r="AG693" s="1"/>
      <c r="AH693" s="1"/>
      <c r="AI693" s="1"/>
    </row>
    <row r="694">
      <c r="A694" s="1"/>
      <c r="B694" s="3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35"/>
      <c r="Y694" s="35"/>
      <c r="Z694" s="35"/>
      <c r="AA694" s="1"/>
      <c r="AB694" s="1"/>
      <c r="AC694" s="1"/>
      <c r="AD694" s="1"/>
      <c r="AE694" s="1"/>
      <c r="AF694" s="1"/>
      <c r="AG694" s="1"/>
      <c r="AH694" s="1"/>
      <c r="AI694" s="1"/>
    </row>
    <row r="695">
      <c r="A695" s="1"/>
      <c r="B695" s="3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35"/>
      <c r="Y695" s="35"/>
      <c r="Z695" s="35"/>
      <c r="AA695" s="1"/>
      <c r="AB695" s="1"/>
      <c r="AC695" s="1"/>
      <c r="AD695" s="1"/>
      <c r="AE695" s="1"/>
      <c r="AF695" s="1"/>
      <c r="AG695" s="1"/>
      <c r="AH695" s="1"/>
      <c r="AI695" s="1"/>
    </row>
    <row r="696">
      <c r="A696" s="1"/>
      <c r="B696" s="3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35"/>
      <c r="Y696" s="35"/>
      <c r="Z696" s="35"/>
      <c r="AA696" s="1"/>
      <c r="AB696" s="1"/>
      <c r="AC696" s="1"/>
      <c r="AD696" s="1"/>
      <c r="AE696" s="1"/>
      <c r="AF696" s="1"/>
      <c r="AG696" s="1"/>
      <c r="AH696" s="1"/>
      <c r="AI696" s="1"/>
    </row>
    <row r="697">
      <c r="A697" s="1"/>
      <c r="B697" s="3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35"/>
      <c r="Y697" s="35"/>
      <c r="Z697" s="35"/>
      <c r="AA697" s="1"/>
      <c r="AB697" s="1"/>
      <c r="AC697" s="1"/>
      <c r="AD697" s="1"/>
      <c r="AE697" s="1"/>
      <c r="AF697" s="1"/>
      <c r="AG697" s="1"/>
      <c r="AH697" s="1"/>
      <c r="AI697" s="1"/>
    </row>
    <row r="698">
      <c r="A698" s="1"/>
      <c r="B698" s="3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35"/>
      <c r="Y698" s="35"/>
      <c r="Z698" s="35"/>
      <c r="AA698" s="1"/>
      <c r="AB698" s="1"/>
      <c r="AC698" s="1"/>
      <c r="AD698" s="1"/>
      <c r="AE698" s="1"/>
      <c r="AF698" s="1"/>
      <c r="AG698" s="1"/>
      <c r="AH698" s="1"/>
      <c r="AI698" s="1"/>
    </row>
    <row r="699">
      <c r="A699" s="1"/>
      <c r="B699" s="3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35"/>
      <c r="Y699" s="35"/>
      <c r="Z699" s="35"/>
      <c r="AA699" s="1"/>
      <c r="AB699" s="1"/>
      <c r="AC699" s="1"/>
      <c r="AD699" s="1"/>
      <c r="AE699" s="1"/>
      <c r="AF699" s="1"/>
      <c r="AG699" s="1"/>
      <c r="AH699" s="1"/>
      <c r="AI699" s="1"/>
    </row>
    <row r="700">
      <c r="A700" s="1"/>
      <c r="B700" s="3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35"/>
      <c r="Y700" s="35"/>
      <c r="Z700" s="35"/>
      <c r="AA700" s="1"/>
      <c r="AB700" s="1"/>
      <c r="AC700" s="1"/>
      <c r="AD700" s="1"/>
      <c r="AE700" s="1"/>
      <c r="AF700" s="1"/>
      <c r="AG700" s="1"/>
      <c r="AH700" s="1"/>
      <c r="AI700" s="1"/>
    </row>
    <row r="701">
      <c r="A701" s="1"/>
      <c r="B701" s="3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35"/>
      <c r="Y701" s="35"/>
      <c r="Z701" s="35"/>
      <c r="AA701" s="1"/>
      <c r="AB701" s="1"/>
      <c r="AC701" s="1"/>
      <c r="AD701" s="1"/>
      <c r="AE701" s="1"/>
      <c r="AF701" s="1"/>
      <c r="AG701" s="1"/>
      <c r="AH701" s="1"/>
      <c r="AI701" s="1"/>
    </row>
    <row r="702">
      <c r="A702" s="1"/>
      <c r="B702" s="3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35"/>
      <c r="Y702" s="35"/>
      <c r="Z702" s="35"/>
      <c r="AA702" s="1"/>
      <c r="AB702" s="1"/>
      <c r="AC702" s="1"/>
      <c r="AD702" s="1"/>
      <c r="AE702" s="1"/>
      <c r="AF702" s="1"/>
      <c r="AG702" s="1"/>
      <c r="AH702" s="1"/>
      <c r="AI702" s="1"/>
    </row>
    <row r="703">
      <c r="A703" s="1"/>
      <c r="B703" s="3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35"/>
      <c r="Y703" s="35"/>
      <c r="Z703" s="35"/>
      <c r="AA703" s="1"/>
      <c r="AB703" s="1"/>
      <c r="AC703" s="1"/>
      <c r="AD703" s="1"/>
      <c r="AE703" s="1"/>
      <c r="AF703" s="1"/>
      <c r="AG703" s="1"/>
      <c r="AH703" s="1"/>
      <c r="AI703" s="1"/>
    </row>
    <row r="704">
      <c r="A704" s="1"/>
      <c r="B704" s="3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35"/>
      <c r="Y704" s="35"/>
      <c r="Z704" s="35"/>
      <c r="AA704" s="1"/>
      <c r="AB704" s="1"/>
      <c r="AC704" s="1"/>
      <c r="AD704" s="1"/>
      <c r="AE704" s="1"/>
      <c r="AF704" s="1"/>
      <c r="AG704" s="1"/>
      <c r="AH704" s="1"/>
      <c r="AI704" s="1"/>
    </row>
    <row r="705">
      <c r="A705" s="1"/>
      <c r="B705" s="3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35"/>
      <c r="Y705" s="35"/>
      <c r="Z705" s="35"/>
      <c r="AA705" s="1"/>
      <c r="AB705" s="1"/>
      <c r="AC705" s="1"/>
      <c r="AD705" s="1"/>
      <c r="AE705" s="1"/>
      <c r="AF705" s="1"/>
      <c r="AG705" s="1"/>
      <c r="AH705" s="1"/>
      <c r="AI705" s="1"/>
    </row>
    <row r="706">
      <c r="A706" s="1"/>
      <c r="B706" s="3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35"/>
      <c r="Y706" s="35"/>
      <c r="Z706" s="35"/>
      <c r="AA706" s="1"/>
      <c r="AB706" s="1"/>
      <c r="AC706" s="1"/>
      <c r="AD706" s="1"/>
      <c r="AE706" s="1"/>
      <c r="AF706" s="1"/>
      <c r="AG706" s="1"/>
      <c r="AH706" s="1"/>
      <c r="AI706" s="1"/>
    </row>
    <row r="707">
      <c r="A707" s="1"/>
      <c r="B707" s="3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35"/>
      <c r="Y707" s="35"/>
      <c r="Z707" s="35"/>
      <c r="AA707" s="1"/>
      <c r="AB707" s="1"/>
      <c r="AC707" s="1"/>
      <c r="AD707" s="1"/>
      <c r="AE707" s="1"/>
      <c r="AF707" s="1"/>
      <c r="AG707" s="1"/>
      <c r="AH707" s="1"/>
      <c r="AI707" s="1"/>
    </row>
    <row r="708">
      <c r="A708" s="1"/>
      <c r="B708" s="3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35"/>
      <c r="Y708" s="35"/>
      <c r="Z708" s="35"/>
      <c r="AA708" s="1"/>
      <c r="AB708" s="1"/>
      <c r="AC708" s="1"/>
      <c r="AD708" s="1"/>
      <c r="AE708" s="1"/>
      <c r="AF708" s="1"/>
      <c r="AG708" s="1"/>
      <c r="AH708" s="1"/>
      <c r="AI708" s="1"/>
    </row>
    <row r="709">
      <c r="A709" s="1"/>
      <c r="B709" s="3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35"/>
      <c r="Y709" s="35"/>
      <c r="Z709" s="35"/>
      <c r="AA709" s="1"/>
      <c r="AB709" s="1"/>
      <c r="AC709" s="1"/>
      <c r="AD709" s="1"/>
      <c r="AE709" s="1"/>
      <c r="AF709" s="1"/>
      <c r="AG709" s="1"/>
      <c r="AH709" s="1"/>
      <c r="AI709" s="1"/>
    </row>
    <row r="710">
      <c r="A710" s="1"/>
      <c r="B710" s="3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35"/>
      <c r="Y710" s="35"/>
      <c r="Z710" s="35"/>
      <c r="AA710" s="1"/>
      <c r="AB710" s="1"/>
      <c r="AC710" s="1"/>
      <c r="AD710" s="1"/>
      <c r="AE710" s="1"/>
      <c r="AF710" s="1"/>
      <c r="AG710" s="1"/>
      <c r="AH710" s="1"/>
      <c r="AI710" s="1"/>
    </row>
    <row r="711">
      <c r="A711" s="1"/>
      <c r="B711" s="3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35"/>
      <c r="Y711" s="35"/>
      <c r="Z711" s="35"/>
      <c r="AA711" s="1"/>
      <c r="AB711" s="1"/>
      <c r="AC711" s="1"/>
      <c r="AD711" s="1"/>
      <c r="AE711" s="1"/>
      <c r="AF711" s="1"/>
      <c r="AG711" s="1"/>
      <c r="AH711" s="1"/>
      <c r="AI711" s="1"/>
    </row>
    <row r="712">
      <c r="A712" s="1"/>
      <c r="B712" s="3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35"/>
      <c r="Y712" s="35"/>
      <c r="Z712" s="35"/>
      <c r="AA712" s="1"/>
      <c r="AB712" s="1"/>
      <c r="AC712" s="1"/>
      <c r="AD712" s="1"/>
      <c r="AE712" s="1"/>
      <c r="AF712" s="1"/>
      <c r="AG712" s="1"/>
      <c r="AH712" s="1"/>
      <c r="AI712" s="1"/>
    </row>
    <row r="713">
      <c r="A713" s="1"/>
      <c r="B713" s="3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35"/>
      <c r="Y713" s="35"/>
      <c r="Z713" s="35"/>
      <c r="AA713" s="1"/>
      <c r="AB713" s="1"/>
      <c r="AC713" s="1"/>
      <c r="AD713" s="1"/>
      <c r="AE713" s="1"/>
      <c r="AF713" s="1"/>
      <c r="AG713" s="1"/>
      <c r="AH713" s="1"/>
      <c r="AI713" s="1"/>
    </row>
    <row r="714">
      <c r="A714" s="1"/>
      <c r="B714" s="3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35"/>
      <c r="Y714" s="35"/>
      <c r="Z714" s="35"/>
      <c r="AA714" s="1"/>
      <c r="AB714" s="1"/>
      <c r="AC714" s="1"/>
      <c r="AD714" s="1"/>
      <c r="AE714" s="1"/>
      <c r="AF714" s="1"/>
      <c r="AG714" s="1"/>
      <c r="AH714" s="1"/>
      <c r="AI714" s="1"/>
    </row>
    <row r="715">
      <c r="A715" s="1"/>
      <c r="B715" s="3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35"/>
      <c r="Y715" s="35"/>
      <c r="Z715" s="35"/>
      <c r="AA715" s="1"/>
      <c r="AB715" s="1"/>
      <c r="AC715" s="1"/>
      <c r="AD715" s="1"/>
      <c r="AE715" s="1"/>
      <c r="AF715" s="1"/>
      <c r="AG715" s="1"/>
      <c r="AH715" s="1"/>
      <c r="AI715" s="1"/>
    </row>
    <row r="716">
      <c r="A716" s="1"/>
      <c r="B716" s="3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35"/>
      <c r="Y716" s="35"/>
      <c r="Z716" s="35"/>
      <c r="AA716" s="1"/>
      <c r="AB716" s="1"/>
      <c r="AC716" s="1"/>
      <c r="AD716" s="1"/>
      <c r="AE716" s="1"/>
      <c r="AF716" s="1"/>
      <c r="AG716" s="1"/>
      <c r="AH716" s="1"/>
      <c r="AI716" s="1"/>
    </row>
    <row r="717">
      <c r="A717" s="1"/>
      <c r="B717" s="3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35"/>
      <c r="Y717" s="35"/>
      <c r="Z717" s="35"/>
      <c r="AA717" s="1"/>
      <c r="AB717" s="1"/>
      <c r="AC717" s="1"/>
      <c r="AD717" s="1"/>
      <c r="AE717" s="1"/>
      <c r="AF717" s="1"/>
      <c r="AG717" s="1"/>
      <c r="AH717" s="1"/>
      <c r="AI717" s="1"/>
    </row>
    <row r="718">
      <c r="A718" s="1"/>
      <c r="B718" s="3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35"/>
      <c r="Y718" s="35"/>
      <c r="Z718" s="35"/>
      <c r="AA718" s="1"/>
      <c r="AB718" s="1"/>
      <c r="AC718" s="1"/>
      <c r="AD718" s="1"/>
      <c r="AE718" s="1"/>
      <c r="AF718" s="1"/>
      <c r="AG718" s="1"/>
      <c r="AH718" s="1"/>
      <c r="AI718" s="1"/>
    </row>
    <row r="719">
      <c r="A719" s="1"/>
      <c r="B719" s="3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35"/>
      <c r="Y719" s="35"/>
      <c r="Z719" s="35"/>
      <c r="AA719" s="1"/>
      <c r="AB719" s="1"/>
      <c r="AC719" s="1"/>
      <c r="AD719" s="1"/>
      <c r="AE719" s="1"/>
      <c r="AF719" s="1"/>
      <c r="AG719" s="1"/>
      <c r="AH719" s="1"/>
      <c r="AI719" s="1"/>
    </row>
    <row r="720">
      <c r="A720" s="1"/>
      <c r="B720" s="3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35"/>
      <c r="Y720" s="35"/>
      <c r="Z720" s="35"/>
      <c r="AA720" s="1"/>
      <c r="AB720" s="1"/>
      <c r="AC720" s="1"/>
      <c r="AD720" s="1"/>
      <c r="AE720" s="1"/>
      <c r="AF720" s="1"/>
      <c r="AG720" s="1"/>
      <c r="AH720" s="1"/>
      <c r="AI720" s="1"/>
    </row>
    <row r="721">
      <c r="A721" s="1"/>
      <c r="B721" s="3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35"/>
      <c r="Y721" s="35"/>
      <c r="Z721" s="35"/>
      <c r="AA721" s="1"/>
      <c r="AB721" s="1"/>
      <c r="AC721" s="1"/>
      <c r="AD721" s="1"/>
      <c r="AE721" s="1"/>
      <c r="AF721" s="1"/>
      <c r="AG721" s="1"/>
      <c r="AH721" s="1"/>
      <c r="AI721" s="1"/>
    </row>
    <row r="722">
      <c r="A722" s="1"/>
      <c r="B722" s="3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35"/>
      <c r="Y722" s="35"/>
      <c r="Z722" s="35"/>
      <c r="AA722" s="1"/>
      <c r="AB722" s="1"/>
      <c r="AC722" s="1"/>
      <c r="AD722" s="1"/>
      <c r="AE722" s="1"/>
      <c r="AF722" s="1"/>
      <c r="AG722" s="1"/>
      <c r="AH722" s="1"/>
      <c r="AI722" s="1"/>
    </row>
    <row r="723">
      <c r="A723" s="1"/>
      <c r="B723" s="3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35"/>
      <c r="Y723" s="35"/>
      <c r="Z723" s="35"/>
      <c r="AA723" s="1"/>
      <c r="AB723" s="1"/>
      <c r="AC723" s="1"/>
      <c r="AD723" s="1"/>
      <c r="AE723" s="1"/>
      <c r="AF723" s="1"/>
      <c r="AG723" s="1"/>
      <c r="AH723" s="1"/>
      <c r="AI723" s="1"/>
    </row>
    <row r="724">
      <c r="A724" s="1"/>
      <c r="B724" s="3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35"/>
      <c r="Y724" s="35"/>
      <c r="Z724" s="35"/>
      <c r="AA724" s="1"/>
      <c r="AB724" s="1"/>
      <c r="AC724" s="1"/>
      <c r="AD724" s="1"/>
      <c r="AE724" s="1"/>
      <c r="AF724" s="1"/>
      <c r="AG724" s="1"/>
      <c r="AH724" s="1"/>
      <c r="AI724" s="1"/>
    </row>
    <row r="725">
      <c r="A725" s="1"/>
      <c r="B725" s="3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35"/>
      <c r="Y725" s="35"/>
      <c r="Z725" s="35"/>
      <c r="AA725" s="1"/>
      <c r="AB725" s="1"/>
      <c r="AC725" s="1"/>
      <c r="AD725" s="1"/>
      <c r="AE725" s="1"/>
      <c r="AF725" s="1"/>
      <c r="AG725" s="1"/>
      <c r="AH725" s="1"/>
      <c r="AI725" s="1"/>
    </row>
    <row r="726">
      <c r="A726" s="1"/>
      <c r="B726" s="3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35"/>
      <c r="Y726" s="35"/>
      <c r="Z726" s="35"/>
      <c r="AA726" s="1"/>
      <c r="AB726" s="1"/>
      <c r="AC726" s="1"/>
      <c r="AD726" s="1"/>
      <c r="AE726" s="1"/>
      <c r="AF726" s="1"/>
      <c r="AG726" s="1"/>
      <c r="AH726" s="1"/>
      <c r="AI726" s="1"/>
    </row>
    <row r="727">
      <c r="A727" s="1"/>
      <c r="B727" s="3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35"/>
      <c r="Y727" s="35"/>
      <c r="Z727" s="35"/>
      <c r="AA727" s="1"/>
      <c r="AB727" s="1"/>
      <c r="AC727" s="1"/>
      <c r="AD727" s="1"/>
      <c r="AE727" s="1"/>
      <c r="AF727" s="1"/>
      <c r="AG727" s="1"/>
      <c r="AH727" s="1"/>
      <c r="AI727" s="1"/>
    </row>
    <row r="728">
      <c r="A728" s="1"/>
      <c r="B728" s="3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35"/>
      <c r="Y728" s="35"/>
      <c r="Z728" s="35"/>
      <c r="AA728" s="1"/>
      <c r="AB728" s="1"/>
      <c r="AC728" s="1"/>
      <c r="AD728" s="1"/>
      <c r="AE728" s="1"/>
      <c r="AF728" s="1"/>
      <c r="AG728" s="1"/>
      <c r="AH728" s="1"/>
      <c r="AI728" s="1"/>
    </row>
    <row r="729">
      <c r="A729" s="1"/>
      <c r="B729" s="3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35"/>
      <c r="Y729" s="35"/>
      <c r="Z729" s="35"/>
      <c r="AA729" s="1"/>
      <c r="AB729" s="1"/>
      <c r="AC729" s="1"/>
      <c r="AD729" s="1"/>
      <c r="AE729" s="1"/>
      <c r="AF729" s="1"/>
      <c r="AG729" s="1"/>
      <c r="AH729" s="1"/>
      <c r="AI729" s="1"/>
    </row>
    <row r="730">
      <c r="A730" s="1"/>
      <c r="B730" s="3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35"/>
      <c r="Y730" s="35"/>
      <c r="Z730" s="35"/>
      <c r="AA730" s="1"/>
      <c r="AB730" s="1"/>
      <c r="AC730" s="1"/>
      <c r="AD730" s="1"/>
      <c r="AE730" s="1"/>
      <c r="AF730" s="1"/>
      <c r="AG730" s="1"/>
      <c r="AH730" s="1"/>
      <c r="AI730" s="1"/>
    </row>
    <row r="731">
      <c r="A731" s="1"/>
      <c r="B731" s="3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35"/>
      <c r="Y731" s="35"/>
      <c r="Z731" s="35"/>
      <c r="AA731" s="1"/>
      <c r="AB731" s="1"/>
      <c r="AC731" s="1"/>
      <c r="AD731" s="1"/>
      <c r="AE731" s="1"/>
      <c r="AF731" s="1"/>
      <c r="AG731" s="1"/>
      <c r="AH731" s="1"/>
      <c r="AI731" s="1"/>
    </row>
    <row r="732">
      <c r="A732" s="1"/>
      <c r="B732" s="3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35"/>
      <c r="Y732" s="35"/>
      <c r="Z732" s="35"/>
      <c r="AA732" s="1"/>
      <c r="AB732" s="1"/>
      <c r="AC732" s="1"/>
      <c r="AD732" s="1"/>
      <c r="AE732" s="1"/>
      <c r="AF732" s="1"/>
      <c r="AG732" s="1"/>
      <c r="AH732" s="1"/>
      <c r="AI732" s="1"/>
    </row>
    <row r="733">
      <c r="A733" s="1"/>
      <c r="B733" s="3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35"/>
      <c r="Y733" s="35"/>
      <c r="Z733" s="35"/>
      <c r="AA733" s="1"/>
      <c r="AB733" s="1"/>
      <c r="AC733" s="1"/>
      <c r="AD733" s="1"/>
      <c r="AE733" s="1"/>
      <c r="AF733" s="1"/>
      <c r="AG733" s="1"/>
      <c r="AH733" s="1"/>
      <c r="AI733" s="1"/>
    </row>
    <row r="734">
      <c r="A734" s="1"/>
      <c r="B734" s="3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35"/>
      <c r="Y734" s="35"/>
      <c r="Z734" s="35"/>
      <c r="AA734" s="1"/>
      <c r="AB734" s="1"/>
      <c r="AC734" s="1"/>
      <c r="AD734" s="1"/>
      <c r="AE734" s="1"/>
      <c r="AF734" s="1"/>
      <c r="AG734" s="1"/>
      <c r="AH734" s="1"/>
      <c r="AI734" s="1"/>
    </row>
    <row r="735">
      <c r="A735" s="1"/>
      <c r="B735" s="3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35"/>
      <c r="Y735" s="35"/>
      <c r="Z735" s="35"/>
      <c r="AA735" s="1"/>
      <c r="AB735" s="1"/>
      <c r="AC735" s="1"/>
      <c r="AD735" s="1"/>
      <c r="AE735" s="1"/>
      <c r="AF735" s="1"/>
      <c r="AG735" s="1"/>
      <c r="AH735" s="1"/>
      <c r="AI735" s="1"/>
    </row>
    <row r="736">
      <c r="A736" s="1"/>
      <c r="B736" s="3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35"/>
      <c r="Y736" s="35"/>
      <c r="Z736" s="35"/>
      <c r="AA736" s="1"/>
      <c r="AB736" s="1"/>
      <c r="AC736" s="1"/>
      <c r="AD736" s="1"/>
      <c r="AE736" s="1"/>
      <c r="AF736" s="1"/>
      <c r="AG736" s="1"/>
      <c r="AH736" s="1"/>
      <c r="AI736" s="1"/>
    </row>
    <row r="737">
      <c r="A737" s="1"/>
      <c r="B737" s="3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35"/>
      <c r="Y737" s="35"/>
      <c r="Z737" s="35"/>
      <c r="AA737" s="1"/>
      <c r="AB737" s="1"/>
      <c r="AC737" s="1"/>
      <c r="AD737" s="1"/>
      <c r="AE737" s="1"/>
      <c r="AF737" s="1"/>
      <c r="AG737" s="1"/>
      <c r="AH737" s="1"/>
      <c r="AI737" s="1"/>
    </row>
    <row r="738">
      <c r="A738" s="1"/>
      <c r="B738" s="3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35"/>
      <c r="Y738" s="35"/>
      <c r="Z738" s="35"/>
      <c r="AA738" s="1"/>
      <c r="AB738" s="1"/>
      <c r="AC738" s="1"/>
      <c r="AD738" s="1"/>
      <c r="AE738" s="1"/>
      <c r="AF738" s="1"/>
      <c r="AG738" s="1"/>
      <c r="AH738" s="1"/>
      <c r="AI738" s="1"/>
    </row>
    <row r="739">
      <c r="A739" s="1"/>
      <c r="B739" s="3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35"/>
      <c r="Y739" s="35"/>
      <c r="Z739" s="35"/>
      <c r="AA739" s="1"/>
      <c r="AB739" s="1"/>
      <c r="AC739" s="1"/>
      <c r="AD739" s="1"/>
      <c r="AE739" s="1"/>
      <c r="AF739" s="1"/>
      <c r="AG739" s="1"/>
      <c r="AH739" s="1"/>
      <c r="AI739" s="1"/>
    </row>
    <row r="740">
      <c r="A740" s="1"/>
      <c r="B740" s="3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35"/>
      <c r="Y740" s="35"/>
      <c r="Z740" s="35"/>
      <c r="AA740" s="1"/>
      <c r="AB740" s="1"/>
      <c r="AC740" s="1"/>
      <c r="AD740" s="1"/>
      <c r="AE740" s="1"/>
      <c r="AF740" s="1"/>
      <c r="AG740" s="1"/>
      <c r="AH740" s="1"/>
      <c r="AI740" s="1"/>
    </row>
    <row r="741">
      <c r="A741" s="1"/>
      <c r="B741" s="3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35"/>
      <c r="Y741" s="35"/>
      <c r="Z741" s="35"/>
      <c r="AA741" s="1"/>
      <c r="AB741" s="1"/>
      <c r="AC741" s="1"/>
      <c r="AD741" s="1"/>
      <c r="AE741" s="1"/>
      <c r="AF741" s="1"/>
      <c r="AG741" s="1"/>
      <c r="AH741" s="1"/>
      <c r="AI741" s="1"/>
    </row>
    <row r="742">
      <c r="A742" s="1"/>
      <c r="B742" s="3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35"/>
      <c r="Y742" s="35"/>
      <c r="Z742" s="35"/>
      <c r="AA742" s="1"/>
      <c r="AB742" s="1"/>
      <c r="AC742" s="1"/>
      <c r="AD742" s="1"/>
      <c r="AE742" s="1"/>
      <c r="AF742" s="1"/>
      <c r="AG742" s="1"/>
      <c r="AH742" s="1"/>
      <c r="AI742" s="1"/>
    </row>
    <row r="743">
      <c r="A743" s="1"/>
      <c r="B743" s="3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35"/>
      <c r="Y743" s="35"/>
      <c r="Z743" s="35"/>
      <c r="AA743" s="1"/>
      <c r="AB743" s="1"/>
      <c r="AC743" s="1"/>
      <c r="AD743" s="1"/>
      <c r="AE743" s="1"/>
      <c r="AF743" s="1"/>
      <c r="AG743" s="1"/>
      <c r="AH743" s="1"/>
      <c r="AI743" s="1"/>
    </row>
    <row r="744">
      <c r="A744" s="1"/>
      <c r="B744" s="3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35"/>
      <c r="Y744" s="35"/>
      <c r="Z744" s="35"/>
      <c r="AA744" s="1"/>
      <c r="AB744" s="1"/>
      <c r="AC744" s="1"/>
      <c r="AD744" s="1"/>
      <c r="AE744" s="1"/>
      <c r="AF744" s="1"/>
      <c r="AG744" s="1"/>
      <c r="AH744" s="1"/>
      <c r="AI744" s="1"/>
    </row>
    <row r="745">
      <c r="A745" s="1"/>
      <c r="B745" s="3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35"/>
      <c r="Y745" s="35"/>
      <c r="Z745" s="35"/>
      <c r="AA745" s="1"/>
      <c r="AB745" s="1"/>
      <c r="AC745" s="1"/>
      <c r="AD745" s="1"/>
      <c r="AE745" s="1"/>
      <c r="AF745" s="1"/>
      <c r="AG745" s="1"/>
      <c r="AH745" s="1"/>
      <c r="AI745" s="1"/>
    </row>
    <row r="746">
      <c r="A746" s="1"/>
      <c r="B746" s="3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35"/>
      <c r="Y746" s="35"/>
      <c r="Z746" s="35"/>
      <c r="AA746" s="1"/>
      <c r="AB746" s="1"/>
      <c r="AC746" s="1"/>
      <c r="AD746" s="1"/>
      <c r="AE746" s="1"/>
      <c r="AF746" s="1"/>
      <c r="AG746" s="1"/>
      <c r="AH746" s="1"/>
      <c r="AI746" s="1"/>
    </row>
    <row r="747">
      <c r="A747" s="1"/>
      <c r="B747" s="3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35"/>
      <c r="Y747" s="35"/>
      <c r="Z747" s="35"/>
      <c r="AA747" s="1"/>
      <c r="AB747" s="1"/>
      <c r="AC747" s="1"/>
      <c r="AD747" s="1"/>
      <c r="AE747" s="1"/>
      <c r="AF747" s="1"/>
      <c r="AG747" s="1"/>
      <c r="AH747" s="1"/>
      <c r="AI747" s="1"/>
    </row>
    <row r="748">
      <c r="A748" s="1"/>
      <c r="B748" s="3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35"/>
      <c r="Y748" s="35"/>
      <c r="Z748" s="35"/>
      <c r="AA748" s="1"/>
      <c r="AB748" s="1"/>
      <c r="AC748" s="1"/>
      <c r="AD748" s="1"/>
      <c r="AE748" s="1"/>
      <c r="AF748" s="1"/>
      <c r="AG748" s="1"/>
      <c r="AH748" s="1"/>
      <c r="AI748" s="1"/>
    </row>
    <row r="749">
      <c r="A749" s="1"/>
      <c r="B749" s="3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35"/>
      <c r="Y749" s="35"/>
      <c r="Z749" s="35"/>
      <c r="AA749" s="1"/>
      <c r="AB749" s="1"/>
      <c r="AC749" s="1"/>
      <c r="AD749" s="1"/>
      <c r="AE749" s="1"/>
      <c r="AF749" s="1"/>
      <c r="AG749" s="1"/>
      <c r="AH749" s="1"/>
      <c r="AI749" s="1"/>
    </row>
    <row r="750">
      <c r="A750" s="1"/>
      <c r="B750" s="3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35"/>
      <c r="Y750" s="35"/>
      <c r="Z750" s="35"/>
      <c r="AA750" s="1"/>
      <c r="AB750" s="1"/>
      <c r="AC750" s="1"/>
      <c r="AD750" s="1"/>
      <c r="AE750" s="1"/>
      <c r="AF750" s="1"/>
      <c r="AG750" s="1"/>
      <c r="AH750" s="1"/>
      <c r="AI750" s="1"/>
    </row>
    <row r="751">
      <c r="A751" s="1"/>
      <c r="B751" s="3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35"/>
      <c r="Y751" s="35"/>
      <c r="Z751" s="35"/>
      <c r="AA751" s="1"/>
      <c r="AB751" s="1"/>
      <c r="AC751" s="1"/>
      <c r="AD751" s="1"/>
      <c r="AE751" s="1"/>
      <c r="AF751" s="1"/>
      <c r="AG751" s="1"/>
      <c r="AH751" s="1"/>
      <c r="AI751" s="1"/>
    </row>
    <row r="752">
      <c r="A752" s="1"/>
      <c r="B752" s="3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35"/>
      <c r="Y752" s="35"/>
      <c r="Z752" s="35"/>
      <c r="AA752" s="1"/>
      <c r="AB752" s="1"/>
      <c r="AC752" s="1"/>
      <c r="AD752" s="1"/>
      <c r="AE752" s="1"/>
      <c r="AF752" s="1"/>
      <c r="AG752" s="1"/>
      <c r="AH752" s="1"/>
      <c r="AI752" s="1"/>
    </row>
    <row r="753">
      <c r="A753" s="1"/>
      <c r="B753" s="3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35"/>
      <c r="Y753" s="35"/>
      <c r="Z753" s="35"/>
      <c r="AA753" s="1"/>
      <c r="AB753" s="1"/>
      <c r="AC753" s="1"/>
      <c r="AD753" s="1"/>
      <c r="AE753" s="1"/>
      <c r="AF753" s="1"/>
      <c r="AG753" s="1"/>
      <c r="AH753" s="1"/>
      <c r="AI753" s="1"/>
    </row>
    <row r="754">
      <c r="A754" s="1"/>
      <c r="B754" s="3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35"/>
      <c r="Y754" s="35"/>
      <c r="Z754" s="35"/>
      <c r="AA754" s="1"/>
      <c r="AB754" s="1"/>
      <c r="AC754" s="1"/>
      <c r="AD754" s="1"/>
      <c r="AE754" s="1"/>
      <c r="AF754" s="1"/>
      <c r="AG754" s="1"/>
      <c r="AH754" s="1"/>
      <c r="AI754" s="1"/>
    </row>
    <row r="755">
      <c r="A755" s="1"/>
      <c r="B755" s="3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35"/>
      <c r="Y755" s="35"/>
      <c r="Z755" s="35"/>
      <c r="AA755" s="1"/>
      <c r="AB755" s="1"/>
      <c r="AC755" s="1"/>
      <c r="AD755" s="1"/>
      <c r="AE755" s="1"/>
      <c r="AF755" s="1"/>
      <c r="AG755" s="1"/>
      <c r="AH755" s="1"/>
      <c r="AI755" s="1"/>
    </row>
    <row r="756">
      <c r="A756" s="1"/>
      <c r="B756" s="3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35"/>
      <c r="Y756" s="35"/>
      <c r="Z756" s="35"/>
      <c r="AA756" s="1"/>
      <c r="AB756" s="1"/>
      <c r="AC756" s="1"/>
      <c r="AD756" s="1"/>
      <c r="AE756" s="1"/>
      <c r="AF756" s="1"/>
      <c r="AG756" s="1"/>
      <c r="AH756" s="1"/>
      <c r="AI756" s="1"/>
    </row>
    <row r="757">
      <c r="A757" s="1"/>
      <c r="B757" s="3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35"/>
      <c r="Y757" s="35"/>
      <c r="Z757" s="35"/>
      <c r="AA757" s="1"/>
      <c r="AB757" s="1"/>
      <c r="AC757" s="1"/>
      <c r="AD757" s="1"/>
      <c r="AE757" s="1"/>
      <c r="AF757" s="1"/>
      <c r="AG757" s="1"/>
      <c r="AH757" s="1"/>
      <c r="AI757" s="1"/>
    </row>
    <row r="758">
      <c r="A758" s="1"/>
      <c r="B758" s="3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35"/>
      <c r="Y758" s="35"/>
      <c r="Z758" s="35"/>
      <c r="AA758" s="1"/>
      <c r="AB758" s="1"/>
      <c r="AC758" s="1"/>
      <c r="AD758" s="1"/>
      <c r="AE758" s="1"/>
      <c r="AF758" s="1"/>
      <c r="AG758" s="1"/>
      <c r="AH758" s="1"/>
      <c r="AI758" s="1"/>
    </row>
    <row r="759">
      <c r="A759" s="1"/>
      <c r="B759" s="3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35"/>
      <c r="Y759" s="35"/>
      <c r="Z759" s="35"/>
      <c r="AA759" s="1"/>
      <c r="AB759" s="1"/>
      <c r="AC759" s="1"/>
      <c r="AD759" s="1"/>
      <c r="AE759" s="1"/>
      <c r="AF759" s="1"/>
      <c r="AG759" s="1"/>
      <c r="AH759" s="1"/>
      <c r="AI759" s="1"/>
    </row>
    <row r="760">
      <c r="A760" s="1"/>
      <c r="B760" s="3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35"/>
      <c r="Y760" s="35"/>
      <c r="Z760" s="35"/>
      <c r="AA760" s="1"/>
      <c r="AB760" s="1"/>
      <c r="AC760" s="1"/>
      <c r="AD760" s="1"/>
      <c r="AE760" s="1"/>
      <c r="AF760" s="1"/>
      <c r="AG760" s="1"/>
      <c r="AH760" s="1"/>
      <c r="AI760" s="1"/>
    </row>
    <row r="761">
      <c r="A761" s="1"/>
      <c r="B761" s="3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35"/>
      <c r="Y761" s="35"/>
      <c r="Z761" s="35"/>
      <c r="AA761" s="1"/>
      <c r="AB761" s="1"/>
      <c r="AC761" s="1"/>
      <c r="AD761" s="1"/>
      <c r="AE761" s="1"/>
      <c r="AF761" s="1"/>
      <c r="AG761" s="1"/>
      <c r="AH761" s="1"/>
      <c r="AI761" s="1"/>
    </row>
    <row r="762">
      <c r="A762" s="1"/>
      <c r="B762" s="3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35"/>
      <c r="Y762" s="35"/>
      <c r="Z762" s="35"/>
      <c r="AA762" s="1"/>
      <c r="AB762" s="1"/>
      <c r="AC762" s="1"/>
      <c r="AD762" s="1"/>
      <c r="AE762" s="1"/>
      <c r="AF762" s="1"/>
      <c r="AG762" s="1"/>
      <c r="AH762" s="1"/>
      <c r="AI762" s="1"/>
    </row>
    <row r="763">
      <c r="A763" s="1"/>
      <c r="B763" s="3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35"/>
      <c r="Y763" s="35"/>
      <c r="Z763" s="35"/>
      <c r="AA763" s="1"/>
      <c r="AB763" s="1"/>
      <c r="AC763" s="1"/>
      <c r="AD763" s="1"/>
      <c r="AE763" s="1"/>
      <c r="AF763" s="1"/>
      <c r="AG763" s="1"/>
      <c r="AH763" s="1"/>
      <c r="AI763" s="1"/>
    </row>
    <row r="764">
      <c r="A764" s="1"/>
      <c r="B764" s="3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35"/>
      <c r="Y764" s="35"/>
      <c r="Z764" s="35"/>
      <c r="AA764" s="1"/>
      <c r="AB764" s="1"/>
      <c r="AC764" s="1"/>
      <c r="AD764" s="1"/>
      <c r="AE764" s="1"/>
      <c r="AF764" s="1"/>
      <c r="AG764" s="1"/>
      <c r="AH764" s="1"/>
      <c r="AI764" s="1"/>
    </row>
    <row r="765">
      <c r="A765" s="1"/>
      <c r="B765" s="3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35"/>
      <c r="Y765" s="35"/>
      <c r="Z765" s="35"/>
      <c r="AA765" s="1"/>
      <c r="AB765" s="1"/>
      <c r="AC765" s="1"/>
      <c r="AD765" s="1"/>
      <c r="AE765" s="1"/>
      <c r="AF765" s="1"/>
      <c r="AG765" s="1"/>
      <c r="AH765" s="1"/>
      <c r="AI765" s="1"/>
    </row>
    <row r="766">
      <c r="A766" s="1"/>
      <c r="B766" s="3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35"/>
      <c r="Y766" s="35"/>
      <c r="Z766" s="35"/>
      <c r="AA766" s="1"/>
      <c r="AB766" s="1"/>
      <c r="AC766" s="1"/>
      <c r="AD766" s="1"/>
      <c r="AE766" s="1"/>
      <c r="AF766" s="1"/>
      <c r="AG766" s="1"/>
      <c r="AH766" s="1"/>
      <c r="AI766" s="1"/>
    </row>
    <row r="767">
      <c r="A767" s="1"/>
      <c r="B767" s="3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35"/>
      <c r="Y767" s="35"/>
      <c r="Z767" s="35"/>
      <c r="AA767" s="1"/>
      <c r="AB767" s="1"/>
      <c r="AC767" s="1"/>
      <c r="AD767" s="1"/>
      <c r="AE767" s="1"/>
      <c r="AF767" s="1"/>
      <c r="AG767" s="1"/>
      <c r="AH767" s="1"/>
      <c r="AI767" s="1"/>
    </row>
    <row r="768">
      <c r="A768" s="1"/>
      <c r="B768" s="3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35"/>
      <c r="Y768" s="35"/>
      <c r="Z768" s="35"/>
      <c r="AA768" s="1"/>
      <c r="AB768" s="1"/>
      <c r="AC768" s="1"/>
      <c r="AD768" s="1"/>
      <c r="AE768" s="1"/>
      <c r="AF768" s="1"/>
      <c r="AG768" s="1"/>
      <c r="AH768" s="1"/>
      <c r="AI768" s="1"/>
    </row>
    <row r="769">
      <c r="A769" s="1"/>
      <c r="B769" s="3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35"/>
      <c r="Y769" s="35"/>
      <c r="Z769" s="35"/>
      <c r="AA769" s="1"/>
      <c r="AB769" s="1"/>
      <c r="AC769" s="1"/>
      <c r="AD769" s="1"/>
      <c r="AE769" s="1"/>
      <c r="AF769" s="1"/>
      <c r="AG769" s="1"/>
      <c r="AH769" s="1"/>
      <c r="AI769" s="1"/>
    </row>
    <row r="770">
      <c r="A770" s="1"/>
      <c r="B770" s="3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35"/>
      <c r="Y770" s="35"/>
      <c r="Z770" s="35"/>
      <c r="AA770" s="1"/>
      <c r="AB770" s="1"/>
      <c r="AC770" s="1"/>
      <c r="AD770" s="1"/>
      <c r="AE770" s="1"/>
      <c r="AF770" s="1"/>
      <c r="AG770" s="1"/>
      <c r="AH770" s="1"/>
      <c r="AI770" s="1"/>
    </row>
    <row r="771">
      <c r="A771" s="1"/>
      <c r="B771" s="3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35"/>
      <c r="Y771" s="35"/>
      <c r="Z771" s="35"/>
      <c r="AA771" s="1"/>
      <c r="AB771" s="1"/>
      <c r="AC771" s="1"/>
      <c r="AD771" s="1"/>
      <c r="AE771" s="1"/>
      <c r="AF771" s="1"/>
      <c r="AG771" s="1"/>
      <c r="AH771" s="1"/>
      <c r="AI771" s="1"/>
    </row>
    <row r="772">
      <c r="A772" s="1"/>
      <c r="B772" s="3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35"/>
      <c r="Y772" s="35"/>
      <c r="Z772" s="35"/>
      <c r="AA772" s="1"/>
      <c r="AB772" s="1"/>
      <c r="AC772" s="1"/>
      <c r="AD772" s="1"/>
      <c r="AE772" s="1"/>
      <c r="AF772" s="1"/>
      <c r="AG772" s="1"/>
      <c r="AH772" s="1"/>
      <c r="AI772" s="1"/>
    </row>
    <row r="773">
      <c r="A773" s="1"/>
      <c r="B773" s="3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35"/>
      <c r="Y773" s="35"/>
      <c r="Z773" s="35"/>
      <c r="AA773" s="1"/>
      <c r="AB773" s="1"/>
      <c r="AC773" s="1"/>
      <c r="AD773" s="1"/>
      <c r="AE773" s="1"/>
      <c r="AF773" s="1"/>
      <c r="AG773" s="1"/>
      <c r="AH773" s="1"/>
      <c r="AI773" s="1"/>
    </row>
    <row r="774">
      <c r="A774" s="1"/>
      <c r="B774" s="3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35"/>
      <c r="Y774" s="35"/>
      <c r="Z774" s="35"/>
      <c r="AA774" s="1"/>
      <c r="AB774" s="1"/>
      <c r="AC774" s="1"/>
      <c r="AD774" s="1"/>
      <c r="AE774" s="1"/>
      <c r="AF774" s="1"/>
      <c r="AG774" s="1"/>
      <c r="AH774" s="1"/>
      <c r="AI774" s="1"/>
    </row>
    <row r="775">
      <c r="A775" s="1"/>
      <c r="B775" s="3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35"/>
      <c r="Y775" s="35"/>
      <c r="Z775" s="35"/>
      <c r="AA775" s="1"/>
      <c r="AB775" s="1"/>
      <c r="AC775" s="1"/>
      <c r="AD775" s="1"/>
      <c r="AE775" s="1"/>
      <c r="AF775" s="1"/>
      <c r="AG775" s="1"/>
      <c r="AH775" s="1"/>
      <c r="AI775" s="1"/>
    </row>
    <row r="776">
      <c r="A776" s="1"/>
      <c r="B776" s="3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35"/>
      <c r="Y776" s="35"/>
      <c r="Z776" s="35"/>
      <c r="AA776" s="1"/>
      <c r="AB776" s="1"/>
      <c r="AC776" s="1"/>
      <c r="AD776" s="1"/>
      <c r="AE776" s="1"/>
      <c r="AF776" s="1"/>
      <c r="AG776" s="1"/>
      <c r="AH776" s="1"/>
      <c r="AI776" s="1"/>
    </row>
    <row r="777">
      <c r="A777" s="1"/>
      <c r="B777" s="3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35"/>
      <c r="Y777" s="35"/>
      <c r="Z777" s="35"/>
      <c r="AA777" s="1"/>
      <c r="AB777" s="1"/>
      <c r="AC777" s="1"/>
      <c r="AD777" s="1"/>
      <c r="AE777" s="1"/>
      <c r="AF777" s="1"/>
      <c r="AG777" s="1"/>
      <c r="AH777" s="1"/>
      <c r="AI777" s="1"/>
    </row>
    <row r="778">
      <c r="A778" s="1"/>
      <c r="B778" s="3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35"/>
      <c r="Y778" s="35"/>
      <c r="Z778" s="35"/>
      <c r="AA778" s="1"/>
      <c r="AB778" s="1"/>
      <c r="AC778" s="1"/>
      <c r="AD778" s="1"/>
      <c r="AE778" s="1"/>
      <c r="AF778" s="1"/>
      <c r="AG778" s="1"/>
      <c r="AH778" s="1"/>
      <c r="AI778" s="1"/>
    </row>
    <row r="779">
      <c r="A779" s="1"/>
      <c r="B779" s="3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35"/>
      <c r="Y779" s="35"/>
      <c r="Z779" s="35"/>
      <c r="AA779" s="1"/>
      <c r="AB779" s="1"/>
      <c r="AC779" s="1"/>
      <c r="AD779" s="1"/>
      <c r="AE779" s="1"/>
      <c r="AF779" s="1"/>
      <c r="AG779" s="1"/>
      <c r="AH779" s="1"/>
      <c r="AI779" s="1"/>
    </row>
    <row r="780">
      <c r="A780" s="1"/>
      <c r="B780" s="3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35"/>
      <c r="Y780" s="35"/>
      <c r="Z780" s="35"/>
      <c r="AA780" s="1"/>
      <c r="AB780" s="1"/>
      <c r="AC780" s="1"/>
      <c r="AD780" s="1"/>
      <c r="AE780" s="1"/>
      <c r="AF780" s="1"/>
      <c r="AG780" s="1"/>
      <c r="AH780" s="1"/>
      <c r="AI780" s="1"/>
    </row>
    <row r="781">
      <c r="A781" s="1"/>
      <c r="B781" s="3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35"/>
      <c r="Y781" s="35"/>
      <c r="Z781" s="35"/>
      <c r="AA781" s="1"/>
      <c r="AB781" s="1"/>
      <c r="AC781" s="1"/>
      <c r="AD781" s="1"/>
      <c r="AE781" s="1"/>
      <c r="AF781" s="1"/>
      <c r="AG781" s="1"/>
      <c r="AH781" s="1"/>
      <c r="AI781" s="1"/>
    </row>
    <row r="782">
      <c r="A782" s="1"/>
      <c r="B782" s="3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35"/>
      <c r="Y782" s="35"/>
      <c r="Z782" s="35"/>
      <c r="AA782" s="1"/>
      <c r="AB782" s="1"/>
      <c r="AC782" s="1"/>
      <c r="AD782" s="1"/>
      <c r="AE782" s="1"/>
      <c r="AF782" s="1"/>
      <c r="AG782" s="1"/>
      <c r="AH782" s="1"/>
      <c r="AI782" s="1"/>
    </row>
    <row r="783">
      <c r="A783" s="1"/>
      <c r="B783" s="3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35"/>
      <c r="Y783" s="35"/>
      <c r="Z783" s="35"/>
      <c r="AA783" s="1"/>
      <c r="AB783" s="1"/>
      <c r="AC783" s="1"/>
      <c r="AD783" s="1"/>
      <c r="AE783" s="1"/>
      <c r="AF783" s="1"/>
      <c r="AG783" s="1"/>
      <c r="AH783" s="1"/>
      <c r="AI783" s="1"/>
    </row>
    <row r="784">
      <c r="A784" s="1"/>
      <c r="B784" s="3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35"/>
      <c r="Y784" s="35"/>
      <c r="Z784" s="35"/>
      <c r="AA784" s="1"/>
      <c r="AB784" s="1"/>
      <c r="AC784" s="1"/>
      <c r="AD784" s="1"/>
      <c r="AE784" s="1"/>
      <c r="AF784" s="1"/>
      <c r="AG784" s="1"/>
      <c r="AH784" s="1"/>
      <c r="AI784" s="1"/>
    </row>
    <row r="785">
      <c r="A785" s="1"/>
      <c r="B785" s="3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35"/>
      <c r="Y785" s="35"/>
      <c r="Z785" s="35"/>
      <c r="AA785" s="1"/>
      <c r="AB785" s="1"/>
      <c r="AC785" s="1"/>
      <c r="AD785" s="1"/>
      <c r="AE785" s="1"/>
      <c r="AF785" s="1"/>
      <c r="AG785" s="1"/>
      <c r="AH785" s="1"/>
      <c r="AI785" s="1"/>
    </row>
    <row r="786">
      <c r="A786" s="1"/>
      <c r="B786" s="3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35"/>
      <c r="Y786" s="35"/>
      <c r="Z786" s="35"/>
      <c r="AA786" s="1"/>
      <c r="AB786" s="1"/>
      <c r="AC786" s="1"/>
      <c r="AD786" s="1"/>
      <c r="AE786" s="1"/>
      <c r="AF786" s="1"/>
      <c r="AG786" s="1"/>
      <c r="AH786" s="1"/>
      <c r="AI786" s="1"/>
    </row>
    <row r="787">
      <c r="A787" s="1"/>
      <c r="B787" s="3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35"/>
      <c r="Y787" s="35"/>
      <c r="Z787" s="35"/>
      <c r="AA787" s="1"/>
      <c r="AB787" s="1"/>
      <c r="AC787" s="1"/>
      <c r="AD787" s="1"/>
      <c r="AE787" s="1"/>
      <c r="AF787" s="1"/>
      <c r="AG787" s="1"/>
      <c r="AH787" s="1"/>
      <c r="AI787" s="1"/>
    </row>
    <row r="788">
      <c r="A788" s="1"/>
      <c r="B788" s="3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35"/>
      <c r="Y788" s="35"/>
      <c r="Z788" s="35"/>
      <c r="AA788" s="1"/>
      <c r="AB788" s="1"/>
      <c r="AC788" s="1"/>
      <c r="AD788" s="1"/>
      <c r="AE788" s="1"/>
      <c r="AF788" s="1"/>
      <c r="AG788" s="1"/>
      <c r="AH788" s="1"/>
      <c r="AI788" s="1"/>
    </row>
    <row r="789">
      <c r="A789" s="1"/>
      <c r="B789" s="3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35"/>
      <c r="Y789" s="35"/>
      <c r="Z789" s="35"/>
      <c r="AA789" s="1"/>
      <c r="AB789" s="1"/>
      <c r="AC789" s="1"/>
      <c r="AD789" s="1"/>
      <c r="AE789" s="1"/>
      <c r="AF789" s="1"/>
      <c r="AG789" s="1"/>
      <c r="AH789" s="1"/>
      <c r="AI789" s="1"/>
    </row>
    <row r="790">
      <c r="A790" s="1"/>
      <c r="B790" s="3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35"/>
      <c r="Y790" s="35"/>
      <c r="Z790" s="35"/>
      <c r="AA790" s="1"/>
      <c r="AB790" s="1"/>
      <c r="AC790" s="1"/>
      <c r="AD790" s="1"/>
      <c r="AE790" s="1"/>
      <c r="AF790" s="1"/>
      <c r="AG790" s="1"/>
      <c r="AH790" s="1"/>
      <c r="AI790" s="1"/>
    </row>
    <row r="791">
      <c r="A791" s="1"/>
      <c r="B791" s="3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35"/>
      <c r="Y791" s="35"/>
      <c r="Z791" s="35"/>
      <c r="AA791" s="1"/>
      <c r="AB791" s="1"/>
      <c r="AC791" s="1"/>
      <c r="AD791" s="1"/>
      <c r="AE791" s="1"/>
      <c r="AF791" s="1"/>
      <c r="AG791" s="1"/>
      <c r="AH791" s="1"/>
      <c r="AI791" s="1"/>
    </row>
    <row r="792">
      <c r="A792" s="1"/>
      <c r="B792" s="3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35"/>
      <c r="Y792" s="35"/>
      <c r="Z792" s="35"/>
      <c r="AA792" s="1"/>
      <c r="AB792" s="1"/>
      <c r="AC792" s="1"/>
      <c r="AD792" s="1"/>
      <c r="AE792" s="1"/>
      <c r="AF792" s="1"/>
      <c r="AG792" s="1"/>
      <c r="AH792" s="1"/>
      <c r="AI792" s="1"/>
    </row>
    <row r="793">
      <c r="A793" s="1"/>
      <c r="B793" s="3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35"/>
      <c r="Y793" s="35"/>
      <c r="Z793" s="35"/>
      <c r="AA793" s="1"/>
      <c r="AB793" s="1"/>
      <c r="AC793" s="1"/>
      <c r="AD793" s="1"/>
      <c r="AE793" s="1"/>
      <c r="AF793" s="1"/>
      <c r="AG793" s="1"/>
      <c r="AH793" s="1"/>
      <c r="AI793" s="1"/>
    </row>
    <row r="794">
      <c r="A794" s="1"/>
      <c r="B794" s="3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35"/>
      <c r="Y794" s="35"/>
      <c r="Z794" s="35"/>
      <c r="AA794" s="1"/>
      <c r="AB794" s="1"/>
      <c r="AC794" s="1"/>
      <c r="AD794" s="1"/>
      <c r="AE794" s="1"/>
      <c r="AF794" s="1"/>
      <c r="AG794" s="1"/>
      <c r="AH794" s="1"/>
      <c r="AI794" s="1"/>
    </row>
    <row r="795">
      <c r="A795" s="1"/>
      <c r="B795" s="3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35"/>
      <c r="Y795" s="35"/>
      <c r="Z795" s="35"/>
      <c r="AA795" s="1"/>
      <c r="AB795" s="1"/>
      <c r="AC795" s="1"/>
      <c r="AD795" s="1"/>
      <c r="AE795" s="1"/>
      <c r="AF795" s="1"/>
      <c r="AG795" s="1"/>
      <c r="AH795" s="1"/>
      <c r="AI795" s="1"/>
    </row>
    <row r="796">
      <c r="A796" s="1"/>
      <c r="B796" s="3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35"/>
      <c r="Y796" s="35"/>
      <c r="Z796" s="35"/>
      <c r="AA796" s="1"/>
      <c r="AB796" s="1"/>
      <c r="AC796" s="1"/>
      <c r="AD796" s="1"/>
      <c r="AE796" s="1"/>
      <c r="AF796" s="1"/>
      <c r="AG796" s="1"/>
      <c r="AH796" s="1"/>
      <c r="AI796" s="1"/>
    </row>
    <row r="797">
      <c r="A797" s="1"/>
      <c r="B797" s="3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35"/>
      <c r="Y797" s="35"/>
      <c r="Z797" s="35"/>
      <c r="AA797" s="1"/>
      <c r="AB797" s="1"/>
      <c r="AC797" s="1"/>
      <c r="AD797" s="1"/>
      <c r="AE797" s="1"/>
      <c r="AF797" s="1"/>
      <c r="AG797" s="1"/>
      <c r="AH797" s="1"/>
      <c r="AI797" s="1"/>
    </row>
    <row r="798">
      <c r="A798" s="1"/>
      <c r="B798" s="3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35"/>
      <c r="Y798" s="35"/>
      <c r="Z798" s="35"/>
      <c r="AA798" s="1"/>
      <c r="AB798" s="1"/>
      <c r="AC798" s="1"/>
      <c r="AD798" s="1"/>
      <c r="AE798" s="1"/>
      <c r="AF798" s="1"/>
      <c r="AG798" s="1"/>
      <c r="AH798" s="1"/>
      <c r="AI798" s="1"/>
    </row>
    <row r="799">
      <c r="A799" s="1"/>
      <c r="B799" s="3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35"/>
      <c r="Y799" s="35"/>
      <c r="Z799" s="35"/>
      <c r="AA799" s="1"/>
      <c r="AB799" s="1"/>
      <c r="AC799" s="1"/>
      <c r="AD799" s="1"/>
      <c r="AE799" s="1"/>
      <c r="AF799" s="1"/>
      <c r="AG799" s="1"/>
      <c r="AH799" s="1"/>
      <c r="AI799" s="1"/>
    </row>
    <row r="800">
      <c r="A800" s="1"/>
      <c r="B800" s="3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35"/>
      <c r="Y800" s="35"/>
      <c r="Z800" s="35"/>
      <c r="AA800" s="1"/>
      <c r="AB800" s="1"/>
      <c r="AC800" s="1"/>
      <c r="AD800" s="1"/>
      <c r="AE800" s="1"/>
      <c r="AF800" s="1"/>
      <c r="AG800" s="1"/>
      <c r="AH800" s="1"/>
      <c r="AI800" s="1"/>
    </row>
    <row r="801">
      <c r="A801" s="1"/>
      <c r="B801" s="3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35"/>
      <c r="Y801" s="35"/>
      <c r="Z801" s="35"/>
      <c r="AA801" s="1"/>
      <c r="AB801" s="1"/>
      <c r="AC801" s="1"/>
      <c r="AD801" s="1"/>
      <c r="AE801" s="1"/>
      <c r="AF801" s="1"/>
      <c r="AG801" s="1"/>
      <c r="AH801" s="1"/>
      <c r="AI801" s="1"/>
    </row>
    <row r="802">
      <c r="A802" s="1"/>
      <c r="B802" s="3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35"/>
      <c r="Y802" s="35"/>
      <c r="Z802" s="35"/>
      <c r="AA802" s="1"/>
      <c r="AB802" s="1"/>
      <c r="AC802" s="1"/>
      <c r="AD802" s="1"/>
      <c r="AE802" s="1"/>
      <c r="AF802" s="1"/>
      <c r="AG802" s="1"/>
      <c r="AH802" s="1"/>
      <c r="AI802" s="1"/>
    </row>
    <row r="803">
      <c r="A803" s="1"/>
      <c r="B803" s="3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35"/>
      <c r="Y803" s="35"/>
      <c r="Z803" s="35"/>
      <c r="AA803" s="1"/>
      <c r="AB803" s="1"/>
      <c r="AC803" s="1"/>
      <c r="AD803" s="1"/>
      <c r="AE803" s="1"/>
      <c r="AF803" s="1"/>
      <c r="AG803" s="1"/>
      <c r="AH803" s="1"/>
      <c r="AI803" s="1"/>
    </row>
    <row r="804">
      <c r="A804" s="1"/>
      <c r="B804" s="3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35"/>
      <c r="Y804" s="35"/>
      <c r="Z804" s="35"/>
      <c r="AA804" s="1"/>
      <c r="AB804" s="1"/>
      <c r="AC804" s="1"/>
      <c r="AD804" s="1"/>
      <c r="AE804" s="1"/>
      <c r="AF804" s="1"/>
      <c r="AG804" s="1"/>
      <c r="AH804" s="1"/>
      <c r="AI804" s="1"/>
    </row>
    <row r="805">
      <c r="A805" s="1"/>
      <c r="B805" s="3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35"/>
      <c r="Y805" s="35"/>
      <c r="Z805" s="35"/>
      <c r="AA805" s="1"/>
      <c r="AB805" s="1"/>
      <c r="AC805" s="1"/>
      <c r="AD805" s="1"/>
      <c r="AE805" s="1"/>
      <c r="AF805" s="1"/>
      <c r="AG805" s="1"/>
      <c r="AH805" s="1"/>
      <c r="AI805" s="1"/>
    </row>
    <row r="806">
      <c r="A806" s="1"/>
      <c r="B806" s="3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35"/>
      <c r="Y806" s="35"/>
      <c r="Z806" s="35"/>
      <c r="AA806" s="1"/>
      <c r="AB806" s="1"/>
      <c r="AC806" s="1"/>
      <c r="AD806" s="1"/>
      <c r="AE806" s="1"/>
      <c r="AF806" s="1"/>
      <c r="AG806" s="1"/>
      <c r="AH806" s="1"/>
      <c r="AI806" s="1"/>
    </row>
    <row r="807">
      <c r="A807" s="1"/>
      <c r="B807" s="3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35"/>
      <c r="Y807" s="35"/>
      <c r="Z807" s="35"/>
      <c r="AA807" s="1"/>
      <c r="AB807" s="1"/>
      <c r="AC807" s="1"/>
      <c r="AD807" s="1"/>
      <c r="AE807" s="1"/>
      <c r="AF807" s="1"/>
      <c r="AG807" s="1"/>
      <c r="AH807" s="1"/>
      <c r="AI807" s="1"/>
    </row>
    <row r="808">
      <c r="A808" s="1"/>
      <c r="B808" s="3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35"/>
      <c r="Y808" s="35"/>
      <c r="Z808" s="35"/>
      <c r="AA808" s="1"/>
      <c r="AB808" s="1"/>
      <c r="AC808" s="1"/>
      <c r="AD808" s="1"/>
      <c r="AE808" s="1"/>
      <c r="AF808" s="1"/>
      <c r="AG808" s="1"/>
      <c r="AH808" s="1"/>
      <c r="AI808" s="1"/>
    </row>
    <row r="809">
      <c r="A809" s="1"/>
      <c r="B809" s="3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35"/>
      <c r="Y809" s="35"/>
      <c r="Z809" s="35"/>
      <c r="AA809" s="1"/>
      <c r="AB809" s="1"/>
      <c r="AC809" s="1"/>
      <c r="AD809" s="1"/>
      <c r="AE809" s="1"/>
      <c r="AF809" s="1"/>
      <c r="AG809" s="1"/>
      <c r="AH809" s="1"/>
      <c r="AI809" s="1"/>
    </row>
    <row r="810">
      <c r="A810" s="1"/>
      <c r="B810" s="3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35"/>
      <c r="Y810" s="35"/>
      <c r="Z810" s="35"/>
      <c r="AA810" s="1"/>
      <c r="AB810" s="1"/>
      <c r="AC810" s="1"/>
      <c r="AD810" s="1"/>
      <c r="AE810" s="1"/>
      <c r="AF810" s="1"/>
      <c r="AG810" s="1"/>
      <c r="AH810" s="1"/>
      <c r="AI810" s="1"/>
    </row>
    <row r="811">
      <c r="A811" s="1"/>
      <c r="B811" s="3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35"/>
      <c r="Y811" s="35"/>
      <c r="Z811" s="35"/>
      <c r="AA811" s="1"/>
      <c r="AB811" s="1"/>
      <c r="AC811" s="1"/>
      <c r="AD811" s="1"/>
      <c r="AE811" s="1"/>
      <c r="AF811" s="1"/>
      <c r="AG811" s="1"/>
      <c r="AH811" s="1"/>
      <c r="AI811" s="1"/>
    </row>
    <row r="812">
      <c r="A812" s="1"/>
      <c r="B812" s="3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35"/>
      <c r="Y812" s="35"/>
      <c r="Z812" s="35"/>
      <c r="AA812" s="1"/>
      <c r="AB812" s="1"/>
      <c r="AC812" s="1"/>
      <c r="AD812" s="1"/>
      <c r="AE812" s="1"/>
      <c r="AF812" s="1"/>
      <c r="AG812" s="1"/>
      <c r="AH812" s="1"/>
      <c r="AI812" s="1"/>
    </row>
    <row r="813">
      <c r="A813" s="1"/>
      <c r="B813" s="3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35"/>
      <c r="Y813" s="35"/>
      <c r="Z813" s="35"/>
      <c r="AA813" s="1"/>
      <c r="AB813" s="1"/>
      <c r="AC813" s="1"/>
      <c r="AD813" s="1"/>
      <c r="AE813" s="1"/>
      <c r="AF813" s="1"/>
      <c r="AG813" s="1"/>
      <c r="AH813" s="1"/>
      <c r="AI813" s="1"/>
    </row>
    <row r="814">
      <c r="A814" s="1"/>
      <c r="B814" s="3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35"/>
      <c r="Y814" s="35"/>
      <c r="Z814" s="35"/>
      <c r="AA814" s="1"/>
      <c r="AB814" s="1"/>
      <c r="AC814" s="1"/>
      <c r="AD814" s="1"/>
      <c r="AE814" s="1"/>
      <c r="AF814" s="1"/>
      <c r="AG814" s="1"/>
      <c r="AH814" s="1"/>
      <c r="AI814" s="1"/>
    </row>
    <row r="815">
      <c r="A815" s="1"/>
      <c r="B815" s="3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35"/>
      <c r="Y815" s="35"/>
      <c r="Z815" s="35"/>
      <c r="AA815" s="1"/>
      <c r="AB815" s="1"/>
      <c r="AC815" s="1"/>
      <c r="AD815" s="1"/>
      <c r="AE815" s="1"/>
      <c r="AF815" s="1"/>
      <c r="AG815" s="1"/>
      <c r="AH815" s="1"/>
      <c r="AI815" s="1"/>
    </row>
    <row r="816">
      <c r="A816" s="1"/>
      <c r="B816" s="3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35"/>
      <c r="Y816" s="35"/>
      <c r="Z816" s="35"/>
      <c r="AA816" s="1"/>
      <c r="AB816" s="1"/>
      <c r="AC816" s="1"/>
      <c r="AD816" s="1"/>
      <c r="AE816" s="1"/>
      <c r="AF816" s="1"/>
      <c r="AG816" s="1"/>
      <c r="AH816" s="1"/>
      <c r="AI816" s="1"/>
    </row>
    <row r="817">
      <c r="A817" s="1"/>
      <c r="B817" s="3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35"/>
      <c r="Y817" s="35"/>
      <c r="Z817" s="35"/>
      <c r="AA817" s="1"/>
      <c r="AB817" s="1"/>
      <c r="AC817" s="1"/>
      <c r="AD817" s="1"/>
      <c r="AE817" s="1"/>
      <c r="AF817" s="1"/>
      <c r="AG817" s="1"/>
      <c r="AH817" s="1"/>
      <c r="AI817" s="1"/>
    </row>
    <row r="818">
      <c r="A818" s="1"/>
      <c r="B818" s="3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35"/>
      <c r="Y818" s="35"/>
      <c r="Z818" s="35"/>
      <c r="AA818" s="1"/>
      <c r="AB818" s="1"/>
      <c r="AC818" s="1"/>
      <c r="AD818" s="1"/>
      <c r="AE818" s="1"/>
      <c r="AF818" s="1"/>
      <c r="AG818" s="1"/>
      <c r="AH818" s="1"/>
      <c r="AI818" s="1"/>
    </row>
    <row r="819">
      <c r="A819" s="1"/>
      <c r="B819" s="3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35"/>
      <c r="Y819" s="35"/>
      <c r="Z819" s="35"/>
      <c r="AA819" s="1"/>
      <c r="AB819" s="1"/>
      <c r="AC819" s="1"/>
      <c r="AD819" s="1"/>
      <c r="AE819" s="1"/>
      <c r="AF819" s="1"/>
      <c r="AG819" s="1"/>
      <c r="AH819" s="1"/>
      <c r="AI819" s="1"/>
    </row>
    <row r="820">
      <c r="A820" s="1"/>
      <c r="B820" s="3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35"/>
      <c r="Y820" s="35"/>
      <c r="Z820" s="35"/>
      <c r="AA820" s="1"/>
      <c r="AB820" s="1"/>
      <c r="AC820" s="1"/>
      <c r="AD820" s="1"/>
      <c r="AE820" s="1"/>
      <c r="AF820" s="1"/>
      <c r="AG820" s="1"/>
      <c r="AH820" s="1"/>
      <c r="AI820" s="1"/>
    </row>
    <row r="821">
      <c r="A821" s="1"/>
      <c r="B821" s="3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35"/>
      <c r="Y821" s="35"/>
      <c r="Z821" s="35"/>
      <c r="AA821" s="1"/>
      <c r="AB821" s="1"/>
      <c r="AC821" s="1"/>
      <c r="AD821" s="1"/>
      <c r="AE821" s="1"/>
      <c r="AF821" s="1"/>
      <c r="AG821" s="1"/>
      <c r="AH821" s="1"/>
      <c r="AI821" s="1"/>
    </row>
    <row r="822">
      <c r="A822" s="1"/>
      <c r="B822" s="3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35"/>
      <c r="Y822" s="35"/>
      <c r="Z822" s="35"/>
      <c r="AA822" s="1"/>
      <c r="AB822" s="1"/>
      <c r="AC822" s="1"/>
      <c r="AD822" s="1"/>
      <c r="AE822" s="1"/>
      <c r="AF822" s="1"/>
      <c r="AG822" s="1"/>
      <c r="AH822" s="1"/>
      <c r="AI822" s="1"/>
    </row>
    <row r="823">
      <c r="A823" s="1"/>
      <c r="B823" s="3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35"/>
      <c r="Y823" s="35"/>
      <c r="Z823" s="35"/>
      <c r="AA823" s="1"/>
      <c r="AB823" s="1"/>
      <c r="AC823" s="1"/>
      <c r="AD823" s="1"/>
      <c r="AE823" s="1"/>
      <c r="AF823" s="1"/>
      <c r="AG823" s="1"/>
      <c r="AH823" s="1"/>
      <c r="AI823" s="1"/>
    </row>
    <row r="824">
      <c r="A824" s="1"/>
      <c r="B824" s="3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35"/>
      <c r="Y824" s="35"/>
      <c r="Z824" s="35"/>
      <c r="AA824" s="1"/>
      <c r="AB824" s="1"/>
      <c r="AC824" s="1"/>
      <c r="AD824" s="1"/>
      <c r="AE824" s="1"/>
      <c r="AF824" s="1"/>
      <c r="AG824" s="1"/>
      <c r="AH824" s="1"/>
      <c r="AI824" s="1"/>
    </row>
    <row r="825">
      <c r="A825" s="1"/>
      <c r="B825" s="3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35"/>
      <c r="Y825" s="35"/>
      <c r="Z825" s="35"/>
      <c r="AA825" s="1"/>
      <c r="AB825" s="1"/>
      <c r="AC825" s="1"/>
      <c r="AD825" s="1"/>
      <c r="AE825" s="1"/>
      <c r="AF825" s="1"/>
      <c r="AG825" s="1"/>
      <c r="AH825" s="1"/>
      <c r="AI825" s="1"/>
    </row>
    <row r="826">
      <c r="A826" s="1"/>
      <c r="B826" s="3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35"/>
      <c r="Y826" s="35"/>
      <c r="Z826" s="35"/>
      <c r="AA826" s="1"/>
      <c r="AB826" s="1"/>
      <c r="AC826" s="1"/>
      <c r="AD826" s="1"/>
      <c r="AE826" s="1"/>
      <c r="AF826" s="1"/>
      <c r="AG826" s="1"/>
      <c r="AH826" s="1"/>
      <c r="AI826" s="1"/>
    </row>
    <row r="827">
      <c r="A827" s="1"/>
      <c r="B827" s="3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35"/>
      <c r="Y827" s="35"/>
      <c r="Z827" s="35"/>
      <c r="AA827" s="1"/>
      <c r="AB827" s="1"/>
      <c r="AC827" s="1"/>
      <c r="AD827" s="1"/>
      <c r="AE827" s="1"/>
      <c r="AF827" s="1"/>
      <c r="AG827" s="1"/>
      <c r="AH827" s="1"/>
      <c r="AI827" s="1"/>
    </row>
    <row r="828">
      <c r="A828" s="1"/>
      <c r="B828" s="3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35"/>
      <c r="Y828" s="35"/>
      <c r="Z828" s="35"/>
      <c r="AA828" s="1"/>
      <c r="AB828" s="1"/>
      <c r="AC828" s="1"/>
      <c r="AD828" s="1"/>
      <c r="AE828" s="1"/>
      <c r="AF828" s="1"/>
      <c r="AG828" s="1"/>
      <c r="AH828" s="1"/>
      <c r="AI828" s="1"/>
    </row>
    <row r="829">
      <c r="A829" s="1"/>
      <c r="B829" s="3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35"/>
      <c r="Y829" s="35"/>
      <c r="Z829" s="35"/>
      <c r="AA829" s="1"/>
      <c r="AB829" s="1"/>
      <c r="AC829" s="1"/>
      <c r="AD829" s="1"/>
      <c r="AE829" s="1"/>
      <c r="AF829" s="1"/>
      <c r="AG829" s="1"/>
      <c r="AH829" s="1"/>
      <c r="AI829" s="1"/>
    </row>
    <row r="830">
      <c r="A830" s="1"/>
      <c r="B830" s="3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35"/>
      <c r="Y830" s="35"/>
      <c r="Z830" s="35"/>
      <c r="AA830" s="1"/>
      <c r="AB830" s="1"/>
      <c r="AC830" s="1"/>
      <c r="AD830" s="1"/>
      <c r="AE830" s="1"/>
      <c r="AF830" s="1"/>
      <c r="AG830" s="1"/>
      <c r="AH830" s="1"/>
      <c r="AI830" s="1"/>
    </row>
    <row r="831">
      <c r="A831" s="1"/>
      <c r="B831" s="3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35"/>
      <c r="Y831" s="35"/>
      <c r="Z831" s="35"/>
      <c r="AA831" s="1"/>
      <c r="AB831" s="1"/>
      <c r="AC831" s="1"/>
      <c r="AD831" s="1"/>
      <c r="AE831" s="1"/>
      <c r="AF831" s="1"/>
      <c r="AG831" s="1"/>
      <c r="AH831" s="1"/>
      <c r="AI831" s="1"/>
    </row>
    <row r="832">
      <c r="A832" s="1"/>
      <c r="B832" s="3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35"/>
      <c r="Y832" s="35"/>
      <c r="Z832" s="35"/>
      <c r="AA832" s="1"/>
      <c r="AB832" s="1"/>
      <c r="AC832" s="1"/>
      <c r="AD832" s="1"/>
      <c r="AE832" s="1"/>
      <c r="AF832" s="1"/>
      <c r="AG832" s="1"/>
      <c r="AH832" s="1"/>
      <c r="AI832" s="1"/>
    </row>
    <row r="833">
      <c r="A833" s="1"/>
      <c r="B833" s="3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35"/>
      <c r="Y833" s="35"/>
      <c r="Z833" s="35"/>
      <c r="AA833" s="1"/>
      <c r="AB833" s="1"/>
      <c r="AC833" s="1"/>
      <c r="AD833" s="1"/>
      <c r="AE833" s="1"/>
      <c r="AF833" s="1"/>
      <c r="AG833" s="1"/>
      <c r="AH833" s="1"/>
      <c r="AI833" s="1"/>
    </row>
    <row r="834">
      <c r="A834" s="1"/>
      <c r="B834" s="3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35"/>
      <c r="Y834" s="35"/>
      <c r="Z834" s="35"/>
      <c r="AA834" s="1"/>
      <c r="AB834" s="1"/>
      <c r="AC834" s="1"/>
      <c r="AD834" s="1"/>
      <c r="AE834" s="1"/>
      <c r="AF834" s="1"/>
      <c r="AG834" s="1"/>
      <c r="AH834" s="1"/>
      <c r="AI834" s="1"/>
    </row>
    <row r="835">
      <c r="A835" s="1"/>
      <c r="B835" s="3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35"/>
      <c r="Y835" s="35"/>
      <c r="Z835" s="35"/>
      <c r="AA835" s="1"/>
      <c r="AB835" s="1"/>
      <c r="AC835" s="1"/>
      <c r="AD835" s="1"/>
      <c r="AE835" s="1"/>
      <c r="AF835" s="1"/>
      <c r="AG835" s="1"/>
      <c r="AH835" s="1"/>
      <c r="AI835" s="1"/>
    </row>
    <row r="836">
      <c r="A836" s="1"/>
      <c r="B836" s="3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35"/>
      <c r="Y836" s="35"/>
      <c r="Z836" s="35"/>
      <c r="AA836" s="1"/>
      <c r="AB836" s="1"/>
      <c r="AC836" s="1"/>
      <c r="AD836" s="1"/>
      <c r="AE836" s="1"/>
      <c r="AF836" s="1"/>
      <c r="AG836" s="1"/>
      <c r="AH836" s="1"/>
      <c r="AI836" s="1"/>
    </row>
    <row r="837">
      <c r="A837" s="1"/>
      <c r="B837" s="3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35"/>
      <c r="Y837" s="35"/>
      <c r="Z837" s="35"/>
      <c r="AA837" s="1"/>
      <c r="AB837" s="1"/>
      <c r="AC837" s="1"/>
      <c r="AD837" s="1"/>
      <c r="AE837" s="1"/>
      <c r="AF837" s="1"/>
      <c r="AG837" s="1"/>
      <c r="AH837" s="1"/>
      <c r="AI837" s="1"/>
    </row>
    <row r="838">
      <c r="A838" s="1"/>
      <c r="B838" s="3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35"/>
      <c r="Y838" s="35"/>
      <c r="Z838" s="35"/>
      <c r="AA838" s="1"/>
      <c r="AB838" s="1"/>
      <c r="AC838" s="1"/>
      <c r="AD838" s="1"/>
      <c r="AE838" s="1"/>
      <c r="AF838" s="1"/>
      <c r="AG838" s="1"/>
      <c r="AH838" s="1"/>
      <c r="AI838" s="1"/>
    </row>
    <row r="839">
      <c r="A839" s="1"/>
      <c r="B839" s="3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35"/>
      <c r="Y839" s="35"/>
      <c r="Z839" s="35"/>
      <c r="AA839" s="1"/>
      <c r="AB839" s="1"/>
      <c r="AC839" s="1"/>
      <c r="AD839" s="1"/>
      <c r="AE839" s="1"/>
      <c r="AF839" s="1"/>
      <c r="AG839" s="1"/>
      <c r="AH839" s="1"/>
      <c r="AI839" s="1"/>
    </row>
    <row r="840">
      <c r="A840" s="1"/>
      <c r="B840" s="3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35"/>
      <c r="Y840" s="35"/>
      <c r="Z840" s="35"/>
      <c r="AA840" s="1"/>
      <c r="AB840" s="1"/>
      <c r="AC840" s="1"/>
      <c r="AD840" s="1"/>
      <c r="AE840" s="1"/>
      <c r="AF840" s="1"/>
      <c r="AG840" s="1"/>
      <c r="AH840" s="1"/>
      <c r="AI840" s="1"/>
    </row>
    <row r="841">
      <c r="A841" s="1"/>
      <c r="B841" s="3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35"/>
      <c r="Y841" s="35"/>
      <c r="Z841" s="35"/>
      <c r="AA841" s="1"/>
      <c r="AB841" s="1"/>
      <c r="AC841" s="1"/>
      <c r="AD841" s="1"/>
      <c r="AE841" s="1"/>
      <c r="AF841" s="1"/>
      <c r="AG841" s="1"/>
      <c r="AH841" s="1"/>
      <c r="AI841" s="1"/>
    </row>
    <row r="842">
      <c r="A842" s="1"/>
      <c r="B842" s="3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35"/>
      <c r="Y842" s="35"/>
      <c r="Z842" s="35"/>
      <c r="AA842" s="1"/>
      <c r="AB842" s="1"/>
      <c r="AC842" s="1"/>
      <c r="AD842" s="1"/>
      <c r="AE842" s="1"/>
      <c r="AF842" s="1"/>
      <c r="AG842" s="1"/>
      <c r="AH842" s="1"/>
      <c r="AI842" s="1"/>
    </row>
    <row r="843">
      <c r="A843" s="1"/>
      <c r="B843" s="3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35"/>
      <c r="Y843" s="35"/>
      <c r="Z843" s="35"/>
      <c r="AA843" s="1"/>
      <c r="AB843" s="1"/>
      <c r="AC843" s="1"/>
      <c r="AD843" s="1"/>
      <c r="AE843" s="1"/>
      <c r="AF843" s="1"/>
      <c r="AG843" s="1"/>
      <c r="AH843" s="1"/>
      <c r="AI843" s="1"/>
    </row>
    <row r="844">
      <c r="A844" s="1"/>
      <c r="B844" s="3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35"/>
      <c r="Y844" s="35"/>
      <c r="Z844" s="35"/>
      <c r="AA844" s="1"/>
      <c r="AB844" s="1"/>
      <c r="AC844" s="1"/>
      <c r="AD844" s="1"/>
      <c r="AE844" s="1"/>
      <c r="AF844" s="1"/>
      <c r="AG844" s="1"/>
      <c r="AH844" s="1"/>
      <c r="AI844" s="1"/>
    </row>
    <row r="845">
      <c r="A845" s="1"/>
      <c r="B845" s="3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35"/>
      <c r="Y845" s="35"/>
      <c r="Z845" s="35"/>
      <c r="AA845" s="1"/>
      <c r="AB845" s="1"/>
      <c r="AC845" s="1"/>
      <c r="AD845" s="1"/>
      <c r="AE845" s="1"/>
      <c r="AF845" s="1"/>
      <c r="AG845" s="1"/>
      <c r="AH845" s="1"/>
      <c r="AI845" s="1"/>
    </row>
    <row r="846">
      <c r="A846" s="1"/>
      <c r="B846" s="3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35"/>
      <c r="Y846" s="35"/>
      <c r="Z846" s="35"/>
      <c r="AA846" s="1"/>
      <c r="AB846" s="1"/>
      <c r="AC846" s="1"/>
      <c r="AD846" s="1"/>
      <c r="AE846" s="1"/>
      <c r="AF846" s="1"/>
      <c r="AG846" s="1"/>
      <c r="AH846" s="1"/>
      <c r="AI846" s="1"/>
    </row>
    <row r="847">
      <c r="A847" s="1"/>
      <c r="B847" s="3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35"/>
      <c r="Y847" s="35"/>
      <c r="Z847" s="35"/>
      <c r="AA847" s="1"/>
      <c r="AB847" s="1"/>
      <c r="AC847" s="1"/>
      <c r="AD847" s="1"/>
      <c r="AE847" s="1"/>
      <c r="AF847" s="1"/>
      <c r="AG847" s="1"/>
      <c r="AH847" s="1"/>
      <c r="AI847" s="1"/>
    </row>
    <row r="848">
      <c r="A848" s="1"/>
      <c r="B848" s="3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35"/>
      <c r="Y848" s="35"/>
      <c r="Z848" s="35"/>
      <c r="AA848" s="1"/>
      <c r="AB848" s="1"/>
      <c r="AC848" s="1"/>
      <c r="AD848" s="1"/>
      <c r="AE848" s="1"/>
      <c r="AF848" s="1"/>
      <c r="AG848" s="1"/>
      <c r="AH848" s="1"/>
      <c r="AI848" s="1"/>
    </row>
    <row r="849">
      <c r="A849" s="1"/>
      <c r="B849" s="3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35"/>
      <c r="Y849" s="35"/>
      <c r="Z849" s="35"/>
      <c r="AA849" s="1"/>
      <c r="AB849" s="1"/>
      <c r="AC849" s="1"/>
      <c r="AD849" s="1"/>
      <c r="AE849" s="1"/>
      <c r="AF849" s="1"/>
      <c r="AG849" s="1"/>
      <c r="AH849" s="1"/>
      <c r="AI849" s="1"/>
    </row>
    <row r="850">
      <c r="A850" s="1"/>
      <c r="B850" s="3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35"/>
      <c r="Y850" s="35"/>
      <c r="Z850" s="35"/>
      <c r="AA850" s="1"/>
      <c r="AB850" s="1"/>
      <c r="AC850" s="1"/>
      <c r="AD850" s="1"/>
      <c r="AE850" s="1"/>
      <c r="AF850" s="1"/>
      <c r="AG850" s="1"/>
      <c r="AH850" s="1"/>
      <c r="AI850" s="1"/>
    </row>
    <row r="851">
      <c r="A851" s="1"/>
      <c r="B851" s="3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35"/>
      <c r="Y851" s="35"/>
      <c r="Z851" s="35"/>
      <c r="AA851" s="1"/>
      <c r="AB851" s="1"/>
      <c r="AC851" s="1"/>
      <c r="AD851" s="1"/>
      <c r="AE851" s="1"/>
      <c r="AF851" s="1"/>
      <c r="AG851" s="1"/>
      <c r="AH851" s="1"/>
      <c r="AI851" s="1"/>
    </row>
    <row r="852">
      <c r="A852" s="1"/>
      <c r="B852" s="3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35"/>
      <c r="Y852" s="35"/>
      <c r="Z852" s="35"/>
      <c r="AA852" s="1"/>
      <c r="AB852" s="1"/>
      <c r="AC852" s="1"/>
      <c r="AD852" s="1"/>
      <c r="AE852" s="1"/>
      <c r="AF852" s="1"/>
      <c r="AG852" s="1"/>
      <c r="AH852" s="1"/>
      <c r="AI852" s="1"/>
    </row>
    <row r="853">
      <c r="A853" s="1"/>
      <c r="B853" s="3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35"/>
      <c r="Y853" s="35"/>
      <c r="Z853" s="35"/>
      <c r="AA853" s="1"/>
      <c r="AB853" s="1"/>
      <c r="AC853" s="1"/>
      <c r="AD853" s="1"/>
      <c r="AE853" s="1"/>
      <c r="AF853" s="1"/>
      <c r="AG853" s="1"/>
      <c r="AH853" s="1"/>
      <c r="AI853" s="1"/>
    </row>
    <row r="854">
      <c r="A854" s="1"/>
      <c r="B854" s="3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35"/>
      <c r="Y854" s="35"/>
      <c r="Z854" s="35"/>
      <c r="AA854" s="1"/>
      <c r="AB854" s="1"/>
      <c r="AC854" s="1"/>
      <c r="AD854" s="1"/>
      <c r="AE854" s="1"/>
      <c r="AF854" s="1"/>
      <c r="AG854" s="1"/>
      <c r="AH854" s="1"/>
      <c r="AI854" s="1"/>
    </row>
    <row r="855">
      <c r="A855" s="1"/>
      <c r="B855" s="3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35"/>
      <c r="Y855" s="35"/>
      <c r="Z855" s="35"/>
      <c r="AA855" s="1"/>
      <c r="AB855" s="1"/>
      <c r="AC855" s="1"/>
      <c r="AD855" s="1"/>
      <c r="AE855" s="1"/>
      <c r="AF855" s="1"/>
      <c r="AG855" s="1"/>
      <c r="AH855" s="1"/>
      <c r="AI855" s="1"/>
    </row>
    <row r="856">
      <c r="A856" s="1"/>
      <c r="B856" s="3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35"/>
      <c r="Y856" s="35"/>
      <c r="Z856" s="35"/>
      <c r="AA856" s="1"/>
      <c r="AB856" s="1"/>
      <c r="AC856" s="1"/>
      <c r="AD856" s="1"/>
      <c r="AE856" s="1"/>
      <c r="AF856" s="1"/>
      <c r="AG856" s="1"/>
      <c r="AH856" s="1"/>
      <c r="AI856" s="1"/>
    </row>
    <row r="857">
      <c r="A857" s="1"/>
      <c r="B857" s="3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35"/>
      <c r="Y857" s="35"/>
      <c r="Z857" s="35"/>
      <c r="AA857" s="1"/>
      <c r="AB857" s="1"/>
      <c r="AC857" s="1"/>
      <c r="AD857" s="1"/>
      <c r="AE857" s="1"/>
      <c r="AF857" s="1"/>
      <c r="AG857" s="1"/>
      <c r="AH857" s="1"/>
      <c r="AI857" s="1"/>
    </row>
    <row r="858">
      <c r="A858" s="1"/>
      <c r="B858" s="3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35"/>
      <c r="Y858" s="35"/>
      <c r="Z858" s="35"/>
      <c r="AA858" s="1"/>
      <c r="AB858" s="1"/>
      <c r="AC858" s="1"/>
      <c r="AD858" s="1"/>
      <c r="AE858" s="1"/>
      <c r="AF858" s="1"/>
      <c r="AG858" s="1"/>
      <c r="AH858" s="1"/>
      <c r="AI858" s="1"/>
    </row>
    <row r="859">
      <c r="A859" s="1"/>
      <c r="B859" s="3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35"/>
      <c r="Y859" s="35"/>
      <c r="Z859" s="35"/>
      <c r="AA859" s="1"/>
      <c r="AB859" s="1"/>
      <c r="AC859" s="1"/>
      <c r="AD859" s="1"/>
      <c r="AE859" s="1"/>
      <c r="AF859" s="1"/>
      <c r="AG859" s="1"/>
      <c r="AH859" s="1"/>
      <c r="AI859" s="1"/>
    </row>
    <row r="860">
      <c r="A860" s="1"/>
      <c r="B860" s="3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35"/>
      <c r="Y860" s="35"/>
      <c r="Z860" s="35"/>
      <c r="AA860" s="1"/>
      <c r="AB860" s="1"/>
      <c r="AC860" s="1"/>
      <c r="AD860" s="1"/>
      <c r="AE860" s="1"/>
      <c r="AF860" s="1"/>
      <c r="AG860" s="1"/>
      <c r="AH860" s="1"/>
      <c r="AI860" s="1"/>
    </row>
    <row r="861">
      <c r="A861" s="1"/>
      <c r="B861" s="3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35"/>
      <c r="Y861" s="35"/>
      <c r="Z861" s="35"/>
      <c r="AA861" s="1"/>
      <c r="AB861" s="1"/>
      <c r="AC861" s="1"/>
      <c r="AD861" s="1"/>
      <c r="AE861" s="1"/>
      <c r="AF861" s="1"/>
      <c r="AG861" s="1"/>
      <c r="AH861" s="1"/>
      <c r="AI861" s="1"/>
    </row>
    <row r="862">
      <c r="A862" s="1"/>
      <c r="B862" s="3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35"/>
      <c r="Y862" s="35"/>
      <c r="Z862" s="35"/>
      <c r="AA862" s="1"/>
      <c r="AB862" s="1"/>
      <c r="AC862" s="1"/>
      <c r="AD862" s="1"/>
      <c r="AE862" s="1"/>
      <c r="AF862" s="1"/>
      <c r="AG862" s="1"/>
      <c r="AH862" s="1"/>
      <c r="AI862" s="1"/>
    </row>
    <row r="863">
      <c r="A863" s="1"/>
      <c r="B863" s="3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35"/>
      <c r="Y863" s="35"/>
      <c r="Z863" s="35"/>
      <c r="AA863" s="1"/>
      <c r="AB863" s="1"/>
      <c r="AC863" s="1"/>
      <c r="AD863" s="1"/>
      <c r="AE863" s="1"/>
      <c r="AF863" s="1"/>
      <c r="AG863" s="1"/>
      <c r="AH863" s="1"/>
      <c r="AI863" s="1"/>
    </row>
    <row r="864">
      <c r="A864" s="1"/>
      <c r="B864" s="3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35"/>
      <c r="Y864" s="35"/>
      <c r="Z864" s="35"/>
      <c r="AA864" s="1"/>
      <c r="AB864" s="1"/>
      <c r="AC864" s="1"/>
      <c r="AD864" s="1"/>
      <c r="AE864" s="1"/>
      <c r="AF864" s="1"/>
      <c r="AG864" s="1"/>
      <c r="AH864" s="1"/>
      <c r="AI864" s="1"/>
    </row>
    <row r="865">
      <c r="A865" s="1"/>
      <c r="B865" s="3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35"/>
      <c r="Y865" s="35"/>
      <c r="Z865" s="35"/>
      <c r="AA865" s="1"/>
      <c r="AB865" s="1"/>
      <c r="AC865" s="1"/>
      <c r="AD865" s="1"/>
      <c r="AE865" s="1"/>
      <c r="AF865" s="1"/>
      <c r="AG865" s="1"/>
      <c r="AH865" s="1"/>
      <c r="AI865" s="1"/>
    </row>
    <row r="866">
      <c r="A866" s="1"/>
      <c r="B866" s="3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35"/>
      <c r="Y866" s="35"/>
      <c r="Z866" s="35"/>
      <c r="AA866" s="1"/>
      <c r="AB866" s="1"/>
      <c r="AC866" s="1"/>
      <c r="AD866" s="1"/>
      <c r="AE866" s="1"/>
      <c r="AF866" s="1"/>
      <c r="AG866" s="1"/>
      <c r="AH866" s="1"/>
      <c r="AI866" s="1"/>
    </row>
    <row r="867">
      <c r="A867" s="1"/>
      <c r="B867" s="3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35"/>
      <c r="Y867" s="35"/>
      <c r="Z867" s="35"/>
      <c r="AA867" s="1"/>
      <c r="AB867" s="1"/>
      <c r="AC867" s="1"/>
      <c r="AD867" s="1"/>
      <c r="AE867" s="1"/>
      <c r="AF867" s="1"/>
      <c r="AG867" s="1"/>
      <c r="AH867" s="1"/>
      <c r="AI867" s="1"/>
    </row>
    <row r="868">
      <c r="A868" s="1"/>
      <c r="B868" s="3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35"/>
      <c r="Y868" s="35"/>
      <c r="Z868" s="35"/>
      <c r="AA868" s="1"/>
      <c r="AB868" s="1"/>
      <c r="AC868" s="1"/>
      <c r="AD868" s="1"/>
      <c r="AE868" s="1"/>
      <c r="AF868" s="1"/>
      <c r="AG868" s="1"/>
      <c r="AH868" s="1"/>
      <c r="AI868" s="1"/>
    </row>
    <row r="869">
      <c r="A869" s="1"/>
      <c r="B869" s="3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35"/>
      <c r="Y869" s="35"/>
      <c r="Z869" s="35"/>
      <c r="AA869" s="1"/>
      <c r="AB869" s="1"/>
      <c r="AC869" s="1"/>
      <c r="AD869" s="1"/>
      <c r="AE869" s="1"/>
      <c r="AF869" s="1"/>
      <c r="AG869" s="1"/>
      <c r="AH869" s="1"/>
      <c r="AI869" s="1"/>
    </row>
    <row r="870">
      <c r="A870" s="1"/>
      <c r="B870" s="3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35"/>
      <c r="Y870" s="35"/>
      <c r="Z870" s="35"/>
      <c r="AA870" s="1"/>
      <c r="AB870" s="1"/>
      <c r="AC870" s="1"/>
      <c r="AD870" s="1"/>
      <c r="AE870" s="1"/>
      <c r="AF870" s="1"/>
      <c r="AG870" s="1"/>
      <c r="AH870" s="1"/>
      <c r="AI870" s="1"/>
    </row>
    <row r="871">
      <c r="A871" s="1"/>
      <c r="B871" s="3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35"/>
      <c r="Y871" s="35"/>
      <c r="Z871" s="35"/>
      <c r="AA871" s="1"/>
      <c r="AB871" s="1"/>
      <c r="AC871" s="1"/>
      <c r="AD871" s="1"/>
      <c r="AE871" s="1"/>
      <c r="AF871" s="1"/>
      <c r="AG871" s="1"/>
      <c r="AH871" s="1"/>
      <c r="AI871" s="1"/>
    </row>
    <row r="872">
      <c r="A872" s="1"/>
      <c r="B872" s="3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35"/>
      <c r="Y872" s="35"/>
      <c r="Z872" s="35"/>
      <c r="AA872" s="1"/>
      <c r="AB872" s="1"/>
      <c r="AC872" s="1"/>
      <c r="AD872" s="1"/>
      <c r="AE872" s="1"/>
      <c r="AF872" s="1"/>
      <c r="AG872" s="1"/>
      <c r="AH872" s="1"/>
      <c r="AI872" s="1"/>
    </row>
    <row r="873">
      <c r="A873" s="1"/>
      <c r="B873" s="3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35"/>
      <c r="Y873" s="35"/>
      <c r="Z873" s="35"/>
      <c r="AA873" s="1"/>
      <c r="AB873" s="1"/>
      <c r="AC873" s="1"/>
      <c r="AD873" s="1"/>
      <c r="AE873" s="1"/>
      <c r="AF873" s="1"/>
      <c r="AG873" s="1"/>
      <c r="AH873" s="1"/>
      <c r="AI873" s="1"/>
    </row>
    <row r="874">
      <c r="A874" s="1"/>
      <c r="B874" s="3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35"/>
      <c r="Y874" s="35"/>
      <c r="Z874" s="35"/>
      <c r="AA874" s="1"/>
      <c r="AB874" s="1"/>
      <c r="AC874" s="1"/>
      <c r="AD874" s="1"/>
      <c r="AE874" s="1"/>
      <c r="AF874" s="1"/>
      <c r="AG874" s="1"/>
      <c r="AH874" s="1"/>
      <c r="AI874" s="1"/>
    </row>
    <row r="875">
      <c r="A875" s="1"/>
      <c r="B875" s="3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35"/>
      <c r="Y875" s="35"/>
      <c r="Z875" s="35"/>
      <c r="AA875" s="1"/>
      <c r="AB875" s="1"/>
      <c r="AC875" s="1"/>
      <c r="AD875" s="1"/>
      <c r="AE875" s="1"/>
      <c r="AF875" s="1"/>
      <c r="AG875" s="1"/>
      <c r="AH875" s="1"/>
      <c r="AI875" s="1"/>
    </row>
    <row r="876">
      <c r="A876" s="1"/>
      <c r="B876" s="3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35"/>
      <c r="Y876" s="35"/>
      <c r="Z876" s="35"/>
      <c r="AA876" s="1"/>
      <c r="AB876" s="1"/>
      <c r="AC876" s="1"/>
      <c r="AD876" s="1"/>
      <c r="AE876" s="1"/>
      <c r="AF876" s="1"/>
      <c r="AG876" s="1"/>
      <c r="AH876" s="1"/>
      <c r="AI876" s="1"/>
    </row>
    <row r="877">
      <c r="A877" s="1"/>
      <c r="B877" s="3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35"/>
      <c r="Y877" s="35"/>
      <c r="Z877" s="35"/>
      <c r="AA877" s="1"/>
      <c r="AB877" s="1"/>
      <c r="AC877" s="1"/>
      <c r="AD877" s="1"/>
      <c r="AE877" s="1"/>
      <c r="AF877" s="1"/>
      <c r="AG877" s="1"/>
      <c r="AH877" s="1"/>
      <c r="AI877" s="1"/>
    </row>
    <row r="878">
      <c r="A878" s="1"/>
      <c r="B878" s="3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35"/>
      <c r="Y878" s="35"/>
      <c r="Z878" s="35"/>
      <c r="AA878" s="1"/>
      <c r="AB878" s="1"/>
      <c r="AC878" s="1"/>
      <c r="AD878" s="1"/>
      <c r="AE878" s="1"/>
      <c r="AF878" s="1"/>
      <c r="AG878" s="1"/>
      <c r="AH878" s="1"/>
      <c r="AI878" s="1"/>
    </row>
    <row r="879">
      <c r="A879" s="1"/>
      <c r="B879" s="3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35"/>
      <c r="Y879" s="35"/>
      <c r="Z879" s="35"/>
      <c r="AA879" s="1"/>
      <c r="AB879" s="1"/>
      <c r="AC879" s="1"/>
      <c r="AD879" s="1"/>
      <c r="AE879" s="1"/>
      <c r="AF879" s="1"/>
      <c r="AG879" s="1"/>
      <c r="AH879" s="1"/>
      <c r="AI879" s="1"/>
    </row>
    <row r="880">
      <c r="A880" s="1"/>
      <c r="B880" s="3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35"/>
      <c r="Y880" s="35"/>
      <c r="Z880" s="35"/>
      <c r="AA880" s="1"/>
      <c r="AB880" s="1"/>
      <c r="AC880" s="1"/>
      <c r="AD880" s="1"/>
      <c r="AE880" s="1"/>
      <c r="AF880" s="1"/>
      <c r="AG880" s="1"/>
      <c r="AH880" s="1"/>
      <c r="AI880" s="1"/>
    </row>
    <row r="881">
      <c r="A881" s="1"/>
      <c r="B881" s="3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35"/>
      <c r="Y881" s="35"/>
      <c r="Z881" s="35"/>
      <c r="AA881" s="1"/>
      <c r="AB881" s="1"/>
      <c r="AC881" s="1"/>
      <c r="AD881" s="1"/>
      <c r="AE881" s="1"/>
      <c r="AF881" s="1"/>
      <c r="AG881" s="1"/>
      <c r="AH881" s="1"/>
      <c r="AI881" s="1"/>
    </row>
    <row r="882">
      <c r="A882" s="1"/>
      <c r="B882" s="3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35"/>
      <c r="Y882" s="35"/>
      <c r="Z882" s="35"/>
      <c r="AA882" s="1"/>
      <c r="AB882" s="1"/>
      <c r="AC882" s="1"/>
      <c r="AD882" s="1"/>
      <c r="AE882" s="1"/>
      <c r="AF882" s="1"/>
      <c r="AG882" s="1"/>
      <c r="AH882" s="1"/>
      <c r="AI882" s="1"/>
    </row>
    <row r="883">
      <c r="A883" s="1"/>
      <c r="B883" s="3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35"/>
      <c r="Y883" s="35"/>
      <c r="Z883" s="35"/>
      <c r="AA883" s="1"/>
      <c r="AB883" s="1"/>
      <c r="AC883" s="1"/>
      <c r="AD883" s="1"/>
      <c r="AE883" s="1"/>
      <c r="AF883" s="1"/>
      <c r="AG883" s="1"/>
      <c r="AH883" s="1"/>
      <c r="AI883" s="1"/>
    </row>
    <row r="884">
      <c r="A884" s="1"/>
      <c r="B884" s="3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35"/>
      <c r="Y884" s="35"/>
      <c r="Z884" s="35"/>
      <c r="AA884" s="1"/>
      <c r="AB884" s="1"/>
      <c r="AC884" s="1"/>
      <c r="AD884" s="1"/>
      <c r="AE884" s="1"/>
      <c r="AF884" s="1"/>
      <c r="AG884" s="1"/>
      <c r="AH884" s="1"/>
      <c r="AI884" s="1"/>
    </row>
    <row r="885">
      <c r="A885" s="1"/>
      <c r="B885" s="3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35"/>
      <c r="Y885" s="35"/>
      <c r="Z885" s="35"/>
      <c r="AA885" s="1"/>
      <c r="AB885" s="1"/>
      <c r="AC885" s="1"/>
      <c r="AD885" s="1"/>
      <c r="AE885" s="1"/>
      <c r="AF885" s="1"/>
      <c r="AG885" s="1"/>
      <c r="AH885" s="1"/>
      <c r="AI885" s="1"/>
    </row>
    <row r="886">
      <c r="A886" s="1"/>
      <c r="B886" s="3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35"/>
      <c r="Y886" s="35"/>
      <c r="Z886" s="35"/>
      <c r="AA886" s="1"/>
      <c r="AB886" s="1"/>
      <c r="AC886" s="1"/>
      <c r="AD886" s="1"/>
      <c r="AE886" s="1"/>
      <c r="AF886" s="1"/>
      <c r="AG886" s="1"/>
      <c r="AH886" s="1"/>
      <c r="AI886" s="1"/>
    </row>
    <row r="887">
      <c r="A887" s="1"/>
      <c r="B887" s="3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35"/>
      <c r="Y887" s="35"/>
      <c r="Z887" s="35"/>
      <c r="AA887" s="1"/>
      <c r="AB887" s="1"/>
      <c r="AC887" s="1"/>
      <c r="AD887" s="1"/>
      <c r="AE887" s="1"/>
      <c r="AF887" s="1"/>
      <c r="AG887" s="1"/>
      <c r="AH887" s="1"/>
      <c r="AI887" s="1"/>
    </row>
    <row r="888">
      <c r="A888" s="1"/>
      <c r="B888" s="3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35"/>
      <c r="Y888" s="35"/>
      <c r="Z888" s="35"/>
      <c r="AA888" s="1"/>
      <c r="AB888" s="1"/>
      <c r="AC888" s="1"/>
      <c r="AD888" s="1"/>
      <c r="AE888" s="1"/>
      <c r="AF888" s="1"/>
      <c r="AG888" s="1"/>
      <c r="AH888" s="1"/>
      <c r="AI888" s="1"/>
    </row>
    <row r="889">
      <c r="A889" s="1"/>
      <c r="B889" s="3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35"/>
      <c r="Y889" s="35"/>
      <c r="Z889" s="35"/>
      <c r="AA889" s="1"/>
      <c r="AB889" s="1"/>
      <c r="AC889" s="1"/>
      <c r="AD889" s="1"/>
      <c r="AE889" s="1"/>
      <c r="AF889" s="1"/>
      <c r="AG889" s="1"/>
      <c r="AH889" s="1"/>
      <c r="AI889" s="1"/>
    </row>
    <row r="890">
      <c r="A890" s="1"/>
      <c r="B890" s="3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35"/>
      <c r="Y890" s="35"/>
      <c r="Z890" s="35"/>
      <c r="AA890" s="1"/>
      <c r="AB890" s="1"/>
      <c r="AC890" s="1"/>
      <c r="AD890" s="1"/>
      <c r="AE890" s="1"/>
      <c r="AF890" s="1"/>
      <c r="AG890" s="1"/>
      <c r="AH890" s="1"/>
      <c r="AI890" s="1"/>
    </row>
    <row r="891">
      <c r="A891" s="1"/>
      <c r="B891" s="3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35"/>
      <c r="Y891" s="35"/>
      <c r="Z891" s="35"/>
      <c r="AA891" s="1"/>
      <c r="AB891" s="1"/>
      <c r="AC891" s="1"/>
      <c r="AD891" s="1"/>
      <c r="AE891" s="1"/>
      <c r="AF891" s="1"/>
      <c r="AG891" s="1"/>
      <c r="AH891" s="1"/>
      <c r="AI891" s="1"/>
    </row>
    <row r="892">
      <c r="A892" s="1"/>
      <c r="B892" s="3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35"/>
      <c r="Y892" s="35"/>
      <c r="Z892" s="35"/>
      <c r="AA892" s="1"/>
      <c r="AB892" s="1"/>
      <c r="AC892" s="1"/>
      <c r="AD892" s="1"/>
      <c r="AE892" s="1"/>
      <c r="AF892" s="1"/>
      <c r="AG892" s="1"/>
      <c r="AH892" s="1"/>
      <c r="AI892" s="1"/>
    </row>
    <row r="893">
      <c r="A893" s="1"/>
      <c r="B893" s="3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35"/>
      <c r="Y893" s="35"/>
      <c r="Z893" s="35"/>
      <c r="AA893" s="1"/>
      <c r="AB893" s="1"/>
      <c r="AC893" s="1"/>
      <c r="AD893" s="1"/>
      <c r="AE893" s="1"/>
      <c r="AF893" s="1"/>
      <c r="AG893" s="1"/>
      <c r="AH893" s="1"/>
      <c r="AI893" s="1"/>
    </row>
    <row r="894">
      <c r="A894" s="1"/>
      <c r="B894" s="3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35"/>
      <c r="Y894" s="35"/>
      <c r="Z894" s="35"/>
      <c r="AA894" s="1"/>
      <c r="AB894" s="1"/>
      <c r="AC894" s="1"/>
      <c r="AD894" s="1"/>
      <c r="AE894" s="1"/>
      <c r="AF894" s="1"/>
      <c r="AG894" s="1"/>
      <c r="AH894" s="1"/>
      <c r="AI894" s="1"/>
    </row>
    <row r="895">
      <c r="A895" s="1"/>
      <c r="B895" s="3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35"/>
      <c r="Y895" s="35"/>
      <c r="Z895" s="35"/>
      <c r="AA895" s="1"/>
      <c r="AB895" s="1"/>
      <c r="AC895" s="1"/>
      <c r="AD895" s="1"/>
      <c r="AE895" s="1"/>
      <c r="AF895" s="1"/>
      <c r="AG895" s="1"/>
      <c r="AH895" s="1"/>
      <c r="AI895" s="1"/>
    </row>
    <row r="896">
      <c r="A896" s="1"/>
      <c r="B896" s="3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35"/>
      <c r="Y896" s="35"/>
      <c r="Z896" s="35"/>
      <c r="AA896" s="1"/>
      <c r="AB896" s="1"/>
      <c r="AC896" s="1"/>
      <c r="AD896" s="1"/>
      <c r="AE896" s="1"/>
      <c r="AF896" s="1"/>
      <c r="AG896" s="1"/>
      <c r="AH896" s="1"/>
      <c r="AI896" s="1"/>
    </row>
    <row r="897">
      <c r="A897" s="1"/>
      <c r="B897" s="3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35"/>
      <c r="Y897" s="35"/>
      <c r="Z897" s="35"/>
      <c r="AA897" s="1"/>
      <c r="AB897" s="1"/>
      <c r="AC897" s="1"/>
      <c r="AD897" s="1"/>
      <c r="AE897" s="1"/>
      <c r="AF897" s="1"/>
      <c r="AG897" s="1"/>
      <c r="AH897" s="1"/>
      <c r="AI897" s="1"/>
    </row>
    <row r="898">
      <c r="A898" s="1"/>
      <c r="B898" s="3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35"/>
      <c r="Y898" s="35"/>
      <c r="Z898" s="35"/>
      <c r="AA898" s="1"/>
      <c r="AB898" s="1"/>
      <c r="AC898" s="1"/>
      <c r="AD898" s="1"/>
      <c r="AE898" s="1"/>
      <c r="AF898" s="1"/>
      <c r="AG898" s="1"/>
      <c r="AH898" s="1"/>
      <c r="AI898" s="1"/>
    </row>
    <row r="899">
      <c r="A899" s="1"/>
      <c r="B899" s="3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35"/>
      <c r="Y899" s="35"/>
      <c r="Z899" s="35"/>
      <c r="AA899" s="1"/>
      <c r="AB899" s="1"/>
      <c r="AC899" s="1"/>
      <c r="AD899" s="1"/>
      <c r="AE899" s="1"/>
      <c r="AF899" s="1"/>
      <c r="AG899" s="1"/>
      <c r="AH899" s="1"/>
      <c r="AI899" s="1"/>
    </row>
    <row r="900">
      <c r="A900" s="1"/>
      <c r="B900" s="3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35"/>
      <c r="Y900" s="35"/>
      <c r="Z900" s="35"/>
      <c r="AA900" s="1"/>
      <c r="AB900" s="1"/>
      <c r="AC900" s="1"/>
      <c r="AD900" s="1"/>
      <c r="AE900" s="1"/>
      <c r="AF900" s="1"/>
      <c r="AG900" s="1"/>
      <c r="AH900" s="1"/>
      <c r="AI900" s="1"/>
    </row>
    <row r="901">
      <c r="A901" s="1"/>
      <c r="B901" s="3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35"/>
      <c r="Y901" s="35"/>
      <c r="Z901" s="35"/>
      <c r="AA901" s="1"/>
      <c r="AB901" s="1"/>
      <c r="AC901" s="1"/>
      <c r="AD901" s="1"/>
      <c r="AE901" s="1"/>
      <c r="AF901" s="1"/>
      <c r="AG901" s="1"/>
      <c r="AH901" s="1"/>
      <c r="AI901" s="1"/>
    </row>
    <row r="902">
      <c r="A902" s="1"/>
      <c r="B902" s="3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35"/>
      <c r="Y902" s="35"/>
      <c r="Z902" s="35"/>
      <c r="AA902" s="1"/>
      <c r="AB902" s="1"/>
      <c r="AC902" s="1"/>
      <c r="AD902" s="1"/>
      <c r="AE902" s="1"/>
      <c r="AF902" s="1"/>
      <c r="AG902" s="1"/>
      <c r="AH902" s="1"/>
      <c r="AI902" s="1"/>
    </row>
    <row r="903">
      <c r="A903" s="1"/>
      <c r="B903" s="3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35"/>
      <c r="Y903" s="35"/>
      <c r="Z903" s="35"/>
      <c r="AA903" s="1"/>
      <c r="AB903" s="1"/>
      <c r="AC903" s="1"/>
      <c r="AD903" s="1"/>
      <c r="AE903" s="1"/>
      <c r="AF903" s="1"/>
      <c r="AG903" s="1"/>
      <c r="AH903" s="1"/>
      <c r="AI903" s="1"/>
    </row>
    <row r="904">
      <c r="A904" s="1"/>
      <c r="B904" s="3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35"/>
      <c r="Y904" s="35"/>
      <c r="Z904" s="35"/>
      <c r="AA904" s="1"/>
      <c r="AB904" s="1"/>
      <c r="AC904" s="1"/>
      <c r="AD904" s="1"/>
      <c r="AE904" s="1"/>
      <c r="AF904" s="1"/>
      <c r="AG904" s="1"/>
      <c r="AH904" s="1"/>
      <c r="AI904" s="1"/>
    </row>
    <row r="905">
      <c r="A905" s="1"/>
      <c r="B905" s="3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35"/>
      <c r="Y905" s="35"/>
      <c r="Z905" s="35"/>
      <c r="AA905" s="1"/>
      <c r="AB905" s="1"/>
      <c r="AC905" s="1"/>
      <c r="AD905" s="1"/>
      <c r="AE905" s="1"/>
      <c r="AF905" s="1"/>
      <c r="AG905" s="1"/>
      <c r="AH905" s="1"/>
      <c r="AI905" s="1"/>
    </row>
    <row r="906">
      <c r="A906" s="1"/>
      <c r="B906" s="3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35"/>
      <c r="Y906" s="35"/>
      <c r="Z906" s="35"/>
      <c r="AA906" s="1"/>
      <c r="AB906" s="1"/>
      <c r="AC906" s="1"/>
      <c r="AD906" s="1"/>
      <c r="AE906" s="1"/>
      <c r="AF906" s="1"/>
      <c r="AG906" s="1"/>
      <c r="AH906" s="1"/>
      <c r="AI906" s="1"/>
    </row>
    <row r="907">
      <c r="A907" s="1"/>
      <c r="B907" s="3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35"/>
      <c r="Y907" s="35"/>
      <c r="Z907" s="35"/>
      <c r="AA907" s="1"/>
      <c r="AB907" s="1"/>
      <c r="AC907" s="1"/>
      <c r="AD907" s="1"/>
      <c r="AE907" s="1"/>
      <c r="AF907" s="1"/>
      <c r="AG907" s="1"/>
      <c r="AH907" s="1"/>
      <c r="AI907" s="1"/>
    </row>
    <row r="908">
      <c r="A908" s="1"/>
      <c r="B908" s="3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35"/>
      <c r="Y908" s="35"/>
      <c r="Z908" s="35"/>
      <c r="AA908" s="1"/>
      <c r="AB908" s="1"/>
      <c r="AC908" s="1"/>
      <c r="AD908" s="1"/>
      <c r="AE908" s="1"/>
      <c r="AF908" s="1"/>
      <c r="AG908" s="1"/>
      <c r="AH908" s="1"/>
      <c r="AI908" s="1"/>
    </row>
    <row r="909">
      <c r="A909" s="1"/>
      <c r="B909" s="3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35"/>
      <c r="Y909" s="35"/>
      <c r="Z909" s="35"/>
      <c r="AA909" s="1"/>
      <c r="AB909" s="1"/>
      <c r="AC909" s="1"/>
      <c r="AD909" s="1"/>
      <c r="AE909" s="1"/>
      <c r="AF909" s="1"/>
      <c r="AG909" s="1"/>
      <c r="AH909" s="1"/>
      <c r="AI909" s="1"/>
    </row>
    <row r="910">
      <c r="A910" s="1"/>
      <c r="B910" s="3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35"/>
      <c r="Y910" s="35"/>
      <c r="Z910" s="35"/>
      <c r="AA910" s="1"/>
      <c r="AB910" s="1"/>
      <c r="AC910" s="1"/>
      <c r="AD910" s="1"/>
      <c r="AE910" s="1"/>
      <c r="AF910" s="1"/>
      <c r="AG910" s="1"/>
      <c r="AH910" s="1"/>
      <c r="AI910" s="1"/>
    </row>
    <row r="911">
      <c r="A911" s="1"/>
      <c r="B911" s="3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35"/>
      <c r="Y911" s="35"/>
      <c r="Z911" s="35"/>
      <c r="AA911" s="1"/>
      <c r="AB911" s="1"/>
      <c r="AC911" s="1"/>
      <c r="AD911" s="1"/>
      <c r="AE911" s="1"/>
      <c r="AF911" s="1"/>
      <c r="AG911" s="1"/>
      <c r="AH911" s="1"/>
      <c r="AI911" s="1"/>
    </row>
    <row r="912">
      <c r="A912" s="1"/>
      <c r="B912" s="3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35"/>
      <c r="Y912" s="35"/>
      <c r="Z912" s="35"/>
      <c r="AA912" s="1"/>
      <c r="AB912" s="1"/>
      <c r="AC912" s="1"/>
      <c r="AD912" s="1"/>
      <c r="AE912" s="1"/>
      <c r="AF912" s="1"/>
      <c r="AG912" s="1"/>
      <c r="AH912" s="1"/>
      <c r="AI912" s="1"/>
    </row>
    <row r="913">
      <c r="A913" s="1"/>
      <c r="B913" s="3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35"/>
      <c r="Y913" s="35"/>
      <c r="Z913" s="35"/>
      <c r="AA913" s="1"/>
      <c r="AB913" s="1"/>
      <c r="AC913" s="1"/>
      <c r="AD913" s="1"/>
      <c r="AE913" s="1"/>
      <c r="AF913" s="1"/>
      <c r="AG913" s="1"/>
      <c r="AH913" s="1"/>
      <c r="AI913" s="1"/>
    </row>
    <row r="914">
      <c r="A914" s="1"/>
      <c r="B914" s="3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35"/>
      <c r="Y914" s="35"/>
      <c r="Z914" s="35"/>
      <c r="AA914" s="1"/>
      <c r="AB914" s="1"/>
      <c r="AC914" s="1"/>
      <c r="AD914" s="1"/>
      <c r="AE914" s="1"/>
      <c r="AF914" s="1"/>
      <c r="AG914" s="1"/>
      <c r="AH914" s="1"/>
      <c r="AI914" s="1"/>
    </row>
    <row r="915">
      <c r="A915" s="1"/>
      <c r="B915" s="3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35"/>
      <c r="Y915" s="35"/>
      <c r="Z915" s="35"/>
      <c r="AA915" s="1"/>
      <c r="AB915" s="1"/>
      <c r="AC915" s="1"/>
      <c r="AD915" s="1"/>
      <c r="AE915" s="1"/>
      <c r="AF915" s="1"/>
      <c r="AG915" s="1"/>
      <c r="AH915" s="1"/>
      <c r="AI915" s="1"/>
    </row>
    <row r="916">
      <c r="A916" s="1"/>
      <c r="B916" s="3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35"/>
      <c r="Y916" s="35"/>
      <c r="Z916" s="35"/>
      <c r="AA916" s="1"/>
      <c r="AB916" s="1"/>
      <c r="AC916" s="1"/>
      <c r="AD916" s="1"/>
      <c r="AE916" s="1"/>
      <c r="AF916" s="1"/>
      <c r="AG916" s="1"/>
      <c r="AH916" s="1"/>
      <c r="AI916" s="1"/>
    </row>
    <row r="917">
      <c r="A917" s="1"/>
      <c r="B917" s="3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35"/>
      <c r="Y917" s="35"/>
      <c r="Z917" s="35"/>
      <c r="AA917" s="1"/>
      <c r="AB917" s="1"/>
      <c r="AC917" s="1"/>
      <c r="AD917" s="1"/>
      <c r="AE917" s="1"/>
      <c r="AF917" s="1"/>
      <c r="AG917" s="1"/>
      <c r="AH917" s="1"/>
      <c r="AI917" s="1"/>
    </row>
    <row r="918">
      <c r="A918" s="1"/>
      <c r="B918" s="3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35"/>
      <c r="Y918" s="35"/>
      <c r="Z918" s="35"/>
      <c r="AA918" s="1"/>
      <c r="AB918" s="1"/>
      <c r="AC918" s="1"/>
      <c r="AD918" s="1"/>
      <c r="AE918" s="1"/>
      <c r="AF918" s="1"/>
      <c r="AG918" s="1"/>
      <c r="AH918" s="1"/>
      <c r="AI918" s="1"/>
    </row>
    <row r="919">
      <c r="A919" s="1"/>
      <c r="B919" s="3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35"/>
      <c r="Y919" s="35"/>
      <c r="Z919" s="35"/>
      <c r="AA919" s="1"/>
      <c r="AB919" s="1"/>
      <c r="AC919" s="1"/>
      <c r="AD919" s="1"/>
      <c r="AE919" s="1"/>
      <c r="AF919" s="1"/>
      <c r="AG919" s="1"/>
      <c r="AH919" s="1"/>
      <c r="AI919" s="1"/>
    </row>
    <row r="920">
      <c r="A920" s="1"/>
      <c r="B920" s="3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35"/>
      <c r="Y920" s="35"/>
      <c r="Z920" s="35"/>
      <c r="AA920" s="1"/>
      <c r="AB920" s="1"/>
      <c r="AC920" s="1"/>
      <c r="AD920" s="1"/>
      <c r="AE920" s="1"/>
      <c r="AF920" s="1"/>
      <c r="AG920" s="1"/>
      <c r="AH920" s="1"/>
      <c r="AI920" s="1"/>
    </row>
    <row r="921">
      <c r="A921" s="1"/>
      <c r="B921" s="3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35"/>
      <c r="Y921" s="35"/>
      <c r="Z921" s="35"/>
      <c r="AA921" s="1"/>
      <c r="AB921" s="1"/>
      <c r="AC921" s="1"/>
      <c r="AD921" s="1"/>
      <c r="AE921" s="1"/>
      <c r="AF921" s="1"/>
      <c r="AG921" s="1"/>
      <c r="AH921" s="1"/>
      <c r="AI921" s="1"/>
    </row>
    <row r="922">
      <c r="A922" s="1"/>
      <c r="B922" s="3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35"/>
      <c r="Y922" s="35"/>
      <c r="Z922" s="35"/>
      <c r="AA922" s="1"/>
      <c r="AB922" s="1"/>
      <c r="AC922" s="1"/>
      <c r="AD922" s="1"/>
      <c r="AE922" s="1"/>
      <c r="AF922" s="1"/>
      <c r="AG922" s="1"/>
      <c r="AH922" s="1"/>
      <c r="AI922" s="1"/>
    </row>
    <row r="923">
      <c r="A923" s="1"/>
      <c r="B923" s="3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35"/>
      <c r="Y923" s="35"/>
      <c r="Z923" s="35"/>
      <c r="AA923" s="1"/>
      <c r="AB923" s="1"/>
      <c r="AC923" s="1"/>
      <c r="AD923" s="1"/>
      <c r="AE923" s="1"/>
      <c r="AF923" s="1"/>
      <c r="AG923" s="1"/>
      <c r="AH923" s="1"/>
      <c r="AI923" s="1"/>
    </row>
    <row r="924">
      <c r="A924" s="1"/>
      <c r="B924" s="3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35"/>
      <c r="Y924" s="35"/>
      <c r="Z924" s="35"/>
      <c r="AA924" s="1"/>
      <c r="AB924" s="1"/>
      <c r="AC924" s="1"/>
      <c r="AD924" s="1"/>
      <c r="AE924" s="1"/>
      <c r="AF924" s="1"/>
      <c r="AG924" s="1"/>
      <c r="AH924" s="1"/>
      <c r="AI924" s="1"/>
    </row>
    <row r="925">
      <c r="A925" s="1"/>
      <c r="B925" s="3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35"/>
      <c r="Y925" s="35"/>
      <c r="Z925" s="35"/>
      <c r="AA925" s="1"/>
      <c r="AB925" s="1"/>
      <c r="AC925" s="1"/>
      <c r="AD925" s="1"/>
      <c r="AE925" s="1"/>
      <c r="AF925" s="1"/>
      <c r="AG925" s="1"/>
      <c r="AH925" s="1"/>
      <c r="AI925" s="1"/>
    </row>
    <row r="926">
      <c r="A926" s="1"/>
      <c r="B926" s="3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35"/>
      <c r="Y926" s="35"/>
      <c r="Z926" s="35"/>
      <c r="AA926" s="1"/>
      <c r="AB926" s="1"/>
      <c r="AC926" s="1"/>
      <c r="AD926" s="1"/>
      <c r="AE926" s="1"/>
      <c r="AF926" s="1"/>
      <c r="AG926" s="1"/>
      <c r="AH926" s="1"/>
      <c r="AI926" s="1"/>
    </row>
    <row r="927">
      <c r="A927" s="1"/>
      <c r="B927" s="3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35"/>
      <c r="Y927" s="35"/>
      <c r="Z927" s="35"/>
      <c r="AA927" s="1"/>
      <c r="AB927" s="1"/>
      <c r="AC927" s="1"/>
      <c r="AD927" s="1"/>
      <c r="AE927" s="1"/>
      <c r="AF927" s="1"/>
      <c r="AG927" s="1"/>
      <c r="AH927" s="1"/>
      <c r="AI927" s="1"/>
    </row>
    <row r="928">
      <c r="A928" s="1"/>
      <c r="B928" s="3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35"/>
      <c r="Y928" s="35"/>
      <c r="Z928" s="35"/>
      <c r="AA928" s="1"/>
      <c r="AB928" s="1"/>
      <c r="AC928" s="1"/>
      <c r="AD928" s="1"/>
      <c r="AE928" s="1"/>
      <c r="AF928" s="1"/>
      <c r="AG928" s="1"/>
      <c r="AH928" s="1"/>
      <c r="AI928" s="1"/>
    </row>
    <row r="929">
      <c r="A929" s="1"/>
      <c r="B929" s="3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35"/>
      <c r="Y929" s="35"/>
      <c r="Z929" s="35"/>
      <c r="AA929" s="1"/>
      <c r="AB929" s="1"/>
      <c r="AC929" s="1"/>
      <c r="AD929" s="1"/>
      <c r="AE929" s="1"/>
      <c r="AF929" s="1"/>
      <c r="AG929" s="1"/>
      <c r="AH929" s="1"/>
      <c r="AI929" s="1"/>
    </row>
    <row r="930">
      <c r="A930" s="1"/>
      <c r="B930" s="3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35"/>
      <c r="Y930" s="35"/>
      <c r="Z930" s="35"/>
      <c r="AA930" s="1"/>
      <c r="AB930" s="1"/>
      <c r="AC930" s="1"/>
      <c r="AD930" s="1"/>
      <c r="AE930" s="1"/>
      <c r="AF930" s="1"/>
      <c r="AG930" s="1"/>
      <c r="AH930" s="1"/>
      <c r="AI930" s="1"/>
    </row>
    <row r="931">
      <c r="A931" s="1"/>
      <c r="B931" s="3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35"/>
      <c r="Y931" s="35"/>
      <c r="Z931" s="35"/>
      <c r="AA931" s="1"/>
      <c r="AB931" s="1"/>
      <c r="AC931" s="1"/>
      <c r="AD931" s="1"/>
      <c r="AE931" s="1"/>
      <c r="AF931" s="1"/>
      <c r="AG931" s="1"/>
      <c r="AH931" s="1"/>
      <c r="AI931" s="1"/>
    </row>
    <row r="932">
      <c r="A932" s="1"/>
      <c r="B932" s="3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35"/>
      <c r="Y932" s="35"/>
      <c r="Z932" s="35"/>
      <c r="AA932" s="1"/>
      <c r="AB932" s="1"/>
      <c r="AC932" s="1"/>
      <c r="AD932" s="1"/>
      <c r="AE932" s="1"/>
      <c r="AF932" s="1"/>
      <c r="AG932" s="1"/>
      <c r="AH932" s="1"/>
      <c r="AI932" s="1"/>
    </row>
    <row r="933">
      <c r="A933" s="1"/>
      <c r="B933" s="3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35"/>
      <c r="Y933" s="35"/>
      <c r="Z933" s="35"/>
      <c r="AA933" s="1"/>
      <c r="AB933" s="1"/>
      <c r="AC933" s="1"/>
      <c r="AD933" s="1"/>
      <c r="AE933" s="1"/>
      <c r="AF933" s="1"/>
      <c r="AG933" s="1"/>
      <c r="AH933" s="1"/>
      <c r="AI933" s="1"/>
    </row>
    <row r="934">
      <c r="A934" s="1"/>
      <c r="B934" s="3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35"/>
      <c r="Y934" s="35"/>
      <c r="Z934" s="35"/>
      <c r="AA934" s="1"/>
      <c r="AB934" s="1"/>
      <c r="AC934" s="1"/>
      <c r="AD934" s="1"/>
      <c r="AE934" s="1"/>
      <c r="AF934" s="1"/>
      <c r="AG934" s="1"/>
      <c r="AH934" s="1"/>
      <c r="AI934" s="1"/>
    </row>
    <row r="935">
      <c r="A935" s="1"/>
      <c r="B935" s="3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35"/>
      <c r="Y935" s="35"/>
      <c r="Z935" s="35"/>
      <c r="AA935" s="1"/>
      <c r="AB935" s="1"/>
      <c r="AC935" s="1"/>
      <c r="AD935" s="1"/>
      <c r="AE935" s="1"/>
      <c r="AF935" s="1"/>
      <c r="AG935" s="1"/>
      <c r="AH935" s="1"/>
      <c r="AI935" s="1"/>
    </row>
    <row r="936">
      <c r="A936" s="1"/>
      <c r="B936" s="3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35"/>
      <c r="Y936" s="35"/>
      <c r="Z936" s="35"/>
      <c r="AA936" s="1"/>
      <c r="AB936" s="1"/>
      <c r="AC936" s="1"/>
      <c r="AD936" s="1"/>
      <c r="AE936" s="1"/>
      <c r="AF936" s="1"/>
      <c r="AG936" s="1"/>
      <c r="AH936" s="1"/>
      <c r="AI936" s="1"/>
    </row>
    <row r="937">
      <c r="A937" s="1"/>
      <c r="B937" s="3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35"/>
      <c r="Y937" s="35"/>
      <c r="Z937" s="35"/>
      <c r="AA937" s="1"/>
      <c r="AB937" s="1"/>
      <c r="AC937" s="1"/>
      <c r="AD937" s="1"/>
      <c r="AE937" s="1"/>
      <c r="AF937" s="1"/>
      <c r="AG937" s="1"/>
      <c r="AH937" s="1"/>
      <c r="AI937" s="1"/>
    </row>
    <row r="938">
      <c r="A938" s="1"/>
      <c r="B938" s="3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35"/>
      <c r="Y938" s="35"/>
      <c r="Z938" s="35"/>
      <c r="AA938" s="1"/>
      <c r="AB938" s="1"/>
      <c r="AC938" s="1"/>
      <c r="AD938" s="1"/>
      <c r="AE938" s="1"/>
      <c r="AF938" s="1"/>
      <c r="AG938" s="1"/>
      <c r="AH938" s="1"/>
      <c r="AI938" s="1"/>
    </row>
    <row r="939">
      <c r="A939" s="1"/>
      <c r="B939" s="3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35"/>
      <c r="Y939" s="35"/>
      <c r="Z939" s="35"/>
      <c r="AA939" s="1"/>
      <c r="AB939" s="1"/>
      <c r="AC939" s="1"/>
      <c r="AD939" s="1"/>
      <c r="AE939" s="1"/>
      <c r="AF939" s="1"/>
      <c r="AG939" s="1"/>
      <c r="AH939" s="1"/>
      <c r="AI939" s="1"/>
    </row>
    <row r="940">
      <c r="A940" s="1"/>
      <c r="B940" s="3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35"/>
      <c r="Y940" s="35"/>
      <c r="Z940" s="35"/>
      <c r="AA940" s="1"/>
      <c r="AB940" s="1"/>
      <c r="AC940" s="1"/>
      <c r="AD940" s="1"/>
      <c r="AE940" s="1"/>
      <c r="AF940" s="1"/>
      <c r="AG940" s="1"/>
      <c r="AH940" s="1"/>
      <c r="AI940" s="1"/>
    </row>
    <row r="941">
      <c r="A941" s="1"/>
      <c r="B941" s="3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35"/>
      <c r="Y941" s="35"/>
      <c r="Z941" s="35"/>
      <c r="AA941" s="1"/>
      <c r="AB941" s="1"/>
      <c r="AC941" s="1"/>
      <c r="AD941" s="1"/>
      <c r="AE941" s="1"/>
      <c r="AF941" s="1"/>
      <c r="AG941" s="1"/>
      <c r="AH941" s="1"/>
      <c r="AI941" s="1"/>
    </row>
    <row r="942">
      <c r="A942" s="1"/>
      <c r="B942" s="3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35"/>
      <c r="Y942" s="35"/>
      <c r="Z942" s="35"/>
      <c r="AA942" s="1"/>
      <c r="AB942" s="1"/>
      <c r="AC942" s="1"/>
      <c r="AD942" s="1"/>
      <c r="AE942" s="1"/>
      <c r="AF942" s="1"/>
      <c r="AG942" s="1"/>
      <c r="AH942" s="1"/>
      <c r="AI942" s="1"/>
    </row>
    <row r="943">
      <c r="A943" s="1"/>
      <c r="B943" s="3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35"/>
      <c r="Y943" s="35"/>
      <c r="Z943" s="35"/>
      <c r="AA943" s="1"/>
      <c r="AB943" s="1"/>
      <c r="AC943" s="1"/>
      <c r="AD943" s="1"/>
      <c r="AE943" s="1"/>
      <c r="AF943" s="1"/>
      <c r="AG943" s="1"/>
      <c r="AH943" s="1"/>
      <c r="AI943" s="1"/>
    </row>
    <row r="944">
      <c r="A944" s="1"/>
      <c r="B944" s="3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35"/>
      <c r="Y944" s="35"/>
      <c r="Z944" s="35"/>
      <c r="AA944" s="1"/>
      <c r="AB944" s="1"/>
      <c r="AC944" s="1"/>
      <c r="AD944" s="1"/>
      <c r="AE944" s="1"/>
      <c r="AF944" s="1"/>
      <c r="AG944" s="1"/>
      <c r="AH944" s="1"/>
      <c r="AI944" s="1"/>
    </row>
    <row r="945">
      <c r="A945" s="1"/>
      <c r="B945" s="3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35"/>
      <c r="Y945" s="35"/>
      <c r="Z945" s="35"/>
      <c r="AA945" s="1"/>
      <c r="AB945" s="1"/>
      <c r="AC945" s="1"/>
      <c r="AD945" s="1"/>
      <c r="AE945" s="1"/>
      <c r="AF945" s="1"/>
      <c r="AG945" s="1"/>
      <c r="AH945" s="1"/>
      <c r="AI945" s="1"/>
    </row>
    <row r="946">
      <c r="A946" s="1"/>
      <c r="B946" s="3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35"/>
      <c r="Y946" s="35"/>
      <c r="Z946" s="35"/>
      <c r="AA946" s="1"/>
      <c r="AB946" s="1"/>
      <c r="AC946" s="1"/>
      <c r="AD946" s="1"/>
      <c r="AE946" s="1"/>
      <c r="AF946" s="1"/>
      <c r="AG946" s="1"/>
      <c r="AH946" s="1"/>
      <c r="AI946" s="1"/>
    </row>
    <row r="947">
      <c r="A947" s="1"/>
      <c r="B947" s="3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35"/>
      <c r="Y947" s="35"/>
      <c r="Z947" s="35"/>
      <c r="AA947" s="1"/>
      <c r="AB947" s="1"/>
      <c r="AC947" s="1"/>
      <c r="AD947" s="1"/>
      <c r="AE947" s="1"/>
      <c r="AF947" s="1"/>
      <c r="AG947" s="1"/>
      <c r="AH947" s="1"/>
      <c r="AI947" s="1"/>
    </row>
    <row r="948">
      <c r="A948" s="1"/>
      <c r="B948" s="3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35"/>
      <c r="Y948" s="35"/>
      <c r="Z948" s="35"/>
      <c r="AA948" s="1"/>
      <c r="AB948" s="1"/>
      <c r="AC948" s="1"/>
      <c r="AD948" s="1"/>
      <c r="AE948" s="1"/>
      <c r="AF948" s="1"/>
      <c r="AG948" s="1"/>
      <c r="AH948" s="1"/>
      <c r="AI948" s="1"/>
    </row>
    <row r="949">
      <c r="A949" s="1"/>
      <c r="B949" s="3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35"/>
      <c r="Y949" s="35"/>
      <c r="Z949" s="35"/>
      <c r="AA949" s="1"/>
      <c r="AB949" s="1"/>
      <c r="AC949" s="1"/>
      <c r="AD949" s="1"/>
      <c r="AE949" s="1"/>
      <c r="AF949" s="1"/>
      <c r="AG949" s="1"/>
      <c r="AH949" s="1"/>
      <c r="AI949" s="1"/>
    </row>
    <row r="950">
      <c r="A950" s="1"/>
      <c r="B950" s="3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35"/>
      <c r="Y950" s="35"/>
      <c r="Z950" s="35"/>
      <c r="AA950" s="1"/>
      <c r="AB950" s="1"/>
      <c r="AC950" s="1"/>
      <c r="AD950" s="1"/>
      <c r="AE950" s="1"/>
      <c r="AF950" s="1"/>
      <c r="AG950" s="1"/>
      <c r="AH950" s="1"/>
      <c r="AI950" s="1"/>
    </row>
    <row r="951">
      <c r="A951" s="1"/>
      <c r="B951" s="3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35"/>
      <c r="Y951" s="35"/>
      <c r="Z951" s="35"/>
      <c r="AA951" s="1"/>
      <c r="AB951" s="1"/>
      <c r="AC951" s="1"/>
      <c r="AD951" s="1"/>
      <c r="AE951" s="1"/>
      <c r="AF951" s="1"/>
      <c r="AG951" s="1"/>
      <c r="AH951" s="1"/>
      <c r="AI951" s="1"/>
    </row>
    <row r="952">
      <c r="A952" s="1"/>
      <c r="B952" s="3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35"/>
      <c r="Y952" s="35"/>
      <c r="Z952" s="35"/>
      <c r="AA952" s="1"/>
      <c r="AB952" s="1"/>
      <c r="AC952" s="1"/>
      <c r="AD952" s="1"/>
      <c r="AE952" s="1"/>
      <c r="AF952" s="1"/>
      <c r="AG952" s="1"/>
      <c r="AH952" s="1"/>
      <c r="AI952" s="1"/>
    </row>
    <row r="953">
      <c r="A953" s="1"/>
      <c r="B953" s="3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35"/>
      <c r="Y953" s="35"/>
      <c r="Z953" s="35"/>
      <c r="AA953" s="1"/>
      <c r="AB953" s="1"/>
      <c r="AC953" s="1"/>
      <c r="AD953" s="1"/>
      <c r="AE953" s="1"/>
      <c r="AF953" s="1"/>
      <c r="AG953" s="1"/>
      <c r="AH953" s="1"/>
      <c r="AI953" s="1"/>
    </row>
    <row r="954">
      <c r="A954" s="1"/>
      <c r="B954" s="3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35"/>
      <c r="Y954" s="35"/>
      <c r="Z954" s="35"/>
      <c r="AA954" s="1"/>
      <c r="AB954" s="1"/>
      <c r="AC954" s="1"/>
      <c r="AD954" s="1"/>
      <c r="AE954" s="1"/>
      <c r="AF954" s="1"/>
      <c r="AG954" s="1"/>
      <c r="AH954" s="1"/>
      <c r="AI954" s="1"/>
    </row>
    <row r="955">
      <c r="A955" s="1"/>
      <c r="B955" s="3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35"/>
      <c r="Y955" s="35"/>
      <c r="Z955" s="35"/>
      <c r="AA955" s="1"/>
      <c r="AB955" s="1"/>
      <c r="AC955" s="1"/>
      <c r="AD955" s="1"/>
      <c r="AE955" s="1"/>
      <c r="AF955" s="1"/>
      <c r="AG955" s="1"/>
      <c r="AH955" s="1"/>
      <c r="AI955" s="1"/>
    </row>
    <row r="956">
      <c r="A956" s="1"/>
      <c r="B956" s="3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35"/>
      <c r="Y956" s="35"/>
      <c r="Z956" s="35"/>
      <c r="AA956" s="1"/>
      <c r="AB956" s="1"/>
      <c r="AC956" s="1"/>
      <c r="AD956" s="1"/>
      <c r="AE956" s="1"/>
      <c r="AF956" s="1"/>
      <c r="AG956" s="1"/>
      <c r="AH956" s="1"/>
      <c r="AI956" s="1"/>
    </row>
    <row r="957">
      <c r="A957" s="1"/>
      <c r="B957" s="3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35"/>
      <c r="Y957" s="35"/>
      <c r="Z957" s="35"/>
      <c r="AA957" s="1"/>
      <c r="AB957" s="1"/>
      <c r="AC957" s="1"/>
      <c r="AD957" s="1"/>
      <c r="AE957" s="1"/>
      <c r="AF957" s="1"/>
      <c r="AG957" s="1"/>
      <c r="AH957" s="1"/>
      <c r="AI957" s="1"/>
    </row>
    <row r="958">
      <c r="A958" s="1"/>
      <c r="B958" s="3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35"/>
      <c r="Y958" s="35"/>
      <c r="Z958" s="35"/>
      <c r="AA958" s="1"/>
      <c r="AB958" s="1"/>
      <c r="AC958" s="1"/>
      <c r="AD958" s="1"/>
      <c r="AE958" s="1"/>
      <c r="AF958" s="1"/>
      <c r="AG958" s="1"/>
      <c r="AH958" s="1"/>
      <c r="AI958" s="1"/>
    </row>
    <row r="959">
      <c r="A959" s="1"/>
      <c r="B959" s="3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35"/>
      <c r="Y959" s="35"/>
      <c r="Z959" s="35"/>
      <c r="AA959" s="1"/>
      <c r="AB959" s="1"/>
      <c r="AC959" s="1"/>
      <c r="AD959" s="1"/>
      <c r="AE959" s="1"/>
      <c r="AF959" s="1"/>
      <c r="AG959" s="1"/>
      <c r="AH959" s="1"/>
      <c r="AI959" s="1"/>
    </row>
    <row r="960">
      <c r="A960" s="1"/>
      <c r="B960" s="3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35"/>
      <c r="Y960" s="35"/>
      <c r="Z960" s="35"/>
      <c r="AA960" s="1"/>
      <c r="AB960" s="1"/>
      <c r="AC960" s="1"/>
      <c r="AD960" s="1"/>
      <c r="AE960" s="1"/>
      <c r="AF960" s="1"/>
      <c r="AG960" s="1"/>
      <c r="AH960" s="1"/>
      <c r="AI960" s="1"/>
    </row>
    <row r="961">
      <c r="A961" s="1"/>
      <c r="B961" s="3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35"/>
      <c r="Y961" s="35"/>
      <c r="Z961" s="35"/>
      <c r="AA961" s="1"/>
      <c r="AB961" s="1"/>
      <c r="AC961" s="1"/>
      <c r="AD961" s="1"/>
      <c r="AE961" s="1"/>
      <c r="AF961" s="1"/>
      <c r="AG961" s="1"/>
      <c r="AH961" s="1"/>
      <c r="AI961" s="1"/>
    </row>
    <row r="962">
      <c r="A962" s="1"/>
      <c r="B962" s="3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35"/>
      <c r="Y962" s="35"/>
      <c r="Z962" s="35"/>
      <c r="AA962" s="1"/>
      <c r="AB962" s="1"/>
      <c r="AC962" s="1"/>
      <c r="AD962" s="1"/>
      <c r="AE962" s="1"/>
      <c r="AF962" s="1"/>
      <c r="AG962" s="1"/>
      <c r="AH962" s="1"/>
      <c r="AI962" s="1"/>
    </row>
    <row r="963">
      <c r="A963" s="1"/>
      <c r="B963" s="3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35"/>
      <c r="Y963" s="35"/>
      <c r="Z963" s="35"/>
      <c r="AA963" s="1"/>
      <c r="AB963" s="1"/>
      <c r="AC963" s="1"/>
      <c r="AD963" s="1"/>
      <c r="AE963" s="1"/>
      <c r="AF963" s="1"/>
      <c r="AG963" s="1"/>
      <c r="AH963" s="1"/>
      <c r="AI963" s="1"/>
    </row>
    <row r="964">
      <c r="A964" s="1"/>
      <c r="B964" s="3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35"/>
      <c r="Y964" s="35"/>
      <c r="Z964" s="35"/>
      <c r="AA964" s="1"/>
      <c r="AB964" s="1"/>
      <c r="AC964" s="1"/>
      <c r="AD964" s="1"/>
      <c r="AE964" s="1"/>
      <c r="AF964" s="1"/>
      <c r="AG964" s="1"/>
      <c r="AH964" s="1"/>
      <c r="AI964" s="1"/>
    </row>
    <row r="965">
      <c r="A965" s="1"/>
      <c r="B965" s="3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35"/>
      <c r="Y965" s="35"/>
      <c r="Z965" s="35"/>
      <c r="AA965" s="1"/>
      <c r="AB965" s="1"/>
      <c r="AC965" s="1"/>
      <c r="AD965" s="1"/>
      <c r="AE965" s="1"/>
      <c r="AF965" s="1"/>
      <c r="AG965" s="1"/>
      <c r="AH965" s="1"/>
      <c r="AI965" s="1"/>
    </row>
    <row r="966">
      <c r="A966" s="1"/>
      <c r="B966" s="3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35"/>
      <c r="Y966" s="35"/>
      <c r="Z966" s="35"/>
      <c r="AA966" s="1"/>
      <c r="AB966" s="1"/>
      <c r="AC966" s="1"/>
      <c r="AD966" s="1"/>
      <c r="AE966" s="1"/>
      <c r="AF966" s="1"/>
      <c r="AG966" s="1"/>
      <c r="AH966" s="1"/>
      <c r="AI966" s="1"/>
    </row>
    <row r="967">
      <c r="A967" s="1"/>
      <c r="B967" s="3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35"/>
      <c r="Y967" s="35"/>
      <c r="Z967" s="35"/>
      <c r="AA967" s="1"/>
      <c r="AB967" s="1"/>
      <c r="AC967" s="1"/>
      <c r="AD967" s="1"/>
      <c r="AE967" s="1"/>
      <c r="AF967" s="1"/>
      <c r="AG967" s="1"/>
      <c r="AH967" s="1"/>
      <c r="AI967" s="1"/>
    </row>
    <row r="968">
      <c r="A968" s="1"/>
      <c r="B968" s="3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35"/>
      <c r="Y968" s="35"/>
      <c r="Z968" s="35"/>
      <c r="AA968" s="1"/>
      <c r="AB968" s="1"/>
      <c r="AC968" s="1"/>
      <c r="AD968" s="1"/>
      <c r="AE968" s="1"/>
      <c r="AF968" s="1"/>
      <c r="AG968" s="1"/>
      <c r="AH968" s="1"/>
      <c r="AI968" s="1"/>
    </row>
    <row r="969">
      <c r="A969" s="1"/>
      <c r="B969" s="3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35"/>
      <c r="Y969" s="35"/>
      <c r="Z969" s="35"/>
      <c r="AA969" s="1"/>
      <c r="AB969" s="1"/>
      <c r="AC969" s="1"/>
      <c r="AD969" s="1"/>
      <c r="AE969" s="1"/>
      <c r="AF969" s="1"/>
      <c r="AG969" s="1"/>
      <c r="AH969" s="1"/>
      <c r="AI969" s="1"/>
    </row>
    <row r="970">
      <c r="A970" s="1"/>
      <c r="B970" s="3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35"/>
      <c r="Y970" s="35"/>
      <c r="Z970" s="35"/>
      <c r="AA970" s="1"/>
      <c r="AB970" s="1"/>
      <c r="AC970" s="1"/>
      <c r="AD970" s="1"/>
      <c r="AE970" s="1"/>
      <c r="AF970" s="1"/>
      <c r="AG970" s="1"/>
      <c r="AH970" s="1"/>
      <c r="AI970" s="1"/>
    </row>
    <row r="971">
      <c r="A971" s="1"/>
      <c r="B971" s="3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35"/>
      <c r="Y971" s="35"/>
      <c r="Z971" s="35"/>
      <c r="AA971" s="1"/>
      <c r="AB971" s="1"/>
      <c r="AC971" s="1"/>
      <c r="AD971" s="1"/>
      <c r="AE971" s="1"/>
      <c r="AF971" s="1"/>
      <c r="AG971" s="1"/>
      <c r="AH971" s="1"/>
      <c r="AI971" s="1"/>
    </row>
    <row r="972">
      <c r="A972" s="1"/>
      <c r="B972" s="3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35"/>
      <c r="Y972" s="35"/>
      <c r="Z972" s="35"/>
      <c r="AA972" s="1"/>
      <c r="AB972" s="1"/>
      <c r="AC972" s="1"/>
      <c r="AD972" s="1"/>
      <c r="AE972" s="1"/>
      <c r="AF972" s="1"/>
      <c r="AG972" s="1"/>
      <c r="AH972" s="1"/>
      <c r="AI972" s="1"/>
    </row>
    <row r="973">
      <c r="A973" s="1"/>
      <c r="B973" s="3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35"/>
      <c r="Y973" s="35"/>
      <c r="Z973" s="35"/>
      <c r="AA973" s="1"/>
      <c r="AB973" s="1"/>
      <c r="AC973" s="1"/>
      <c r="AD973" s="1"/>
      <c r="AE973" s="1"/>
      <c r="AF973" s="1"/>
      <c r="AG973" s="1"/>
      <c r="AH973" s="1"/>
      <c r="AI973" s="1"/>
    </row>
    <row r="974">
      <c r="A974" s="1"/>
      <c r="B974" s="3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35"/>
      <c r="Y974" s="35"/>
      <c r="Z974" s="35"/>
      <c r="AA974" s="1"/>
      <c r="AB974" s="1"/>
      <c r="AC974" s="1"/>
      <c r="AD974" s="1"/>
      <c r="AE974" s="1"/>
      <c r="AF974" s="1"/>
      <c r="AG974" s="1"/>
      <c r="AH974" s="1"/>
      <c r="AI974" s="1"/>
    </row>
    <row r="975">
      <c r="A975" s="1"/>
      <c r="B975" s="3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35"/>
      <c r="Y975" s="35"/>
      <c r="Z975" s="35"/>
      <c r="AA975" s="1"/>
      <c r="AB975" s="1"/>
      <c r="AC975" s="1"/>
      <c r="AD975" s="1"/>
      <c r="AE975" s="1"/>
      <c r="AF975" s="1"/>
      <c r="AG975" s="1"/>
      <c r="AH975" s="1"/>
      <c r="AI975" s="1"/>
    </row>
    <row r="976">
      <c r="A976" s="1"/>
      <c r="B976" s="3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35"/>
      <c r="Y976" s="35"/>
      <c r="Z976" s="35"/>
      <c r="AA976" s="1"/>
      <c r="AB976" s="1"/>
      <c r="AC976" s="1"/>
      <c r="AD976" s="1"/>
      <c r="AE976" s="1"/>
      <c r="AF976" s="1"/>
      <c r="AG976" s="1"/>
      <c r="AH976" s="1"/>
      <c r="AI976" s="1"/>
    </row>
    <row r="977">
      <c r="A977" s="1"/>
      <c r="B977" s="3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35"/>
      <c r="Y977" s="35"/>
      <c r="Z977" s="35"/>
      <c r="AA977" s="1"/>
      <c r="AB977" s="1"/>
      <c r="AC977" s="1"/>
      <c r="AD977" s="1"/>
      <c r="AE977" s="1"/>
      <c r="AF977" s="1"/>
      <c r="AG977" s="1"/>
      <c r="AH977" s="1"/>
      <c r="AI977" s="1"/>
    </row>
    <row r="978">
      <c r="A978" s="1"/>
      <c r="B978" s="3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35"/>
      <c r="Y978" s="35"/>
      <c r="Z978" s="35"/>
      <c r="AA978" s="1"/>
      <c r="AB978" s="1"/>
      <c r="AC978" s="1"/>
      <c r="AD978" s="1"/>
      <c r="AE978" s="1"/>
      <c r="AF978" s="1"/>
      <c r="AG978" s="1"/>
      <c r="AH978" s="1"/>
      <c r="AI978" s="1"/>
    </row>
    <row r="979">
      <c r="A979" s="1"/>
      <c r="B979" s="3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35"/>
      <c r="Y979" s="35"/>
      <c r="Z979" s="35"/>
      <c r="AA979" s="1"/>
      <c r="AB979" s="1"/>
      <c r="AC979" s="1"/>
      <c r="AD979" s="1"/>
      <c r="AE979" s="1"/>
      <c r="AF979" s="1"/>
      <c r="AG979" s="1"/>
      <c r="AH979" s="1"/>
      <c r="AI979" s="1"/>
    </row>
    <row r="980">
      <c r="A980" s="1"/>
      <c r="B980" s="3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35"/>
      <c r="Y980" s="35"/>
      <c r="Z980" s="35"/>
      <c r="AA980" s="1"/>
      <c r="AB980" s="1"/>
      <c r="AC980" s="1"/>
      <c r="AD980" s="1"/>
      <c r="AE980" s="1"/>
      <c r="AF980" s="1"/>
      <c r="AG980" s="1"/>
      <c r="AH980" s="1"/>
      <c r="AI980" s="1"/>
    </row>
    <row r="981">
      <c r="A981" s="1"/>
      <c r="B981" s="3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35"/>
      <c r="Y981" s="35"/>
      <c r="Z981" s="35"/>
      <c r="AA981" s="1"/>
      <c r="AB981" s="1"/>
      <c r="AC981" s="1"/>
      <c r="AD981" s="1"/>
      <c r="AE981" s="1"/>
      <c r="AF981" s="1"/>
      <c r="AG981" s="1"/>
      <c r="AH981" s="1"/>
      <c r="AI981" s="1"/>
    </row>
    <row r="982">
      <c r="A982" s="1"/>
      <c r="B982" s="3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35"/>
      <c r="Y982" s="35"/>
      <c r="Z982" s="35"/>
      <c r="AA982" s="1"/>
      <c r="AB982" s="1"/>
      <c r="AC982" s="1"/>
      <c r="AD982" s="1"/>
      <c r="AE982" s="1"/>
      <c r="AF982" s="1"/>
      <c r="AG982" s="1"/>
      <c r="AH982" s="1"/>
      <c r="AI982" s="1"/>
    </row>
    <row r="983">
      <c r="A983" s="1"/>
      <c r="B983" s="3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35"/>
      <c r="Y983" s="35"/>
      <c r="Z983" s="35"/>
      <c r="AA983" s="1"/>
      <c r="AB983" s="1"/>
      <c r="AC983" s="1"/>
      <c r="AD983" s="1"/>
      <c r="AE983" s="1"/>
      <c r="AF983" s="1"/>
      <c r="AG983" s="1"/>
      <c r="AH983" s="1"/>
      <c r="AI983" s="1"/>
    </row>
    <row r="984">
      <c r="A984" s="1"/>
      <c r="B984" s="3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35"/>
      <c r="Y984" s="35"/>
      <c r="Z984" s="35"/>
      <c r="AA984" s="1"/>
      <c r="AB984" s="1"/>
      <c r="AC984" s="1"/>
      <c r="AD984" s="1"/>
      <c r="AE984" s="1"/>
      <c r="AF984" s="1"/>
      <c r="AG984" s="1"/>
      <c r="AH984" s="1"/>
      <c r="AI984" s="1"/>
    </row>
    <row r="985">
      <c r="A985" s="1"/>
      <c r="B985" s="3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35"/>
      <c r="Y985" s="35"/>
      <c r="Z985" s="35"/>
      <c r="AA985" s="1"/>
      <c r="AB985" s="1"/>
      <c r="AC985" s="1"/>
      <c r="AD985" s="1"/>
      <c r="AE985" s="1"/>
      <c r="AF985" s="1"/>
      <c r="AG985" s="1"/>
      <c r="AH985" s="1"/>
      <c r="AI985" s="1"/>
    </row>
    <row r="986">
      <c r="A986" s="1"/>
      <c r="B986" s="3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35"/>
      <c r="Y986" s="35"/>
      <c r="Z986" s="35"/>
      <c r="AA986" s="1"/>
      <c r="AB986" s="1"/>
      <c r="AC986" s="1"/>
      <c r="AD986" s="1"/>
      <c r="AE986" s="1"/>
      <c r="AF986" s="1"/>
      <c r="AG986" s="1"/>
      <c r="AH986" s="1"/>
      <c r="AI986" s="1"/>
    </row>
    <row r="987">
      <c r="A987" s="1"/>
      <c r="B987" s="3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35"/>
      <c r="Y987" s="35"/>
      <c r="Z987" s="35"/>
      <c r="AA987" s="1"/>
      <c r="AB987" s="1"/>
      <c r="AC987" s="1"/>
      <c r="AD987" s="1"/>
      <c r="AE987" s="1"/>
      <c r="AF987" s="1"/>
      <c r="AG987" s="1"/>
      <c r="AH987" s="1"/>
      <c r="AI987" s="1"/>
    </row>
    <row r="988">
      <c r="A988" s="1"/>
      <c r="B988" s="3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35"/>
      <c r="Y988" s="35"/>
      <c r="Z988" s="35"/>
      <c r="AA988" s="1"/>
      <c r="AB988" s="1"/>
      <c r="AC988" s="1"/>
      <c r="AD988" s="1"/>
      <c r="AE988" s="1"/>
      <c r="AF988" s="1"/>
      <c r="AG988" s="1"/>
      <c r="AH988" s="1"/>
      <c r="AI988" s="1"/>
    </row>
    <row r="989">
      <c r="A989" s="1"/>
      <c r="B989" s="3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35"/>
      <c r="Y989" s="35"/>
      <c r="Z989" s="35"/>
      <c r="AA989" s="1"/>
      <c r="AB989" s="1"/>
      <c r="AC989" s="1"/>
      <c r="AD989" s="1"/>
      <c r="AE989" s="1"/>
      <c r="AF989" s="1"/>
      <c r="AG989" s="1"/>
      <c r="AH989" s="1"/>
      <c r="AI989" s="1"/>
    </row>
    <row r="990">
      <c r="A990" s="1"/>
      <c r="B990" s="3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35"/>
      <c r="Y990" s="35"/>
      <c r="Z990" s="35"/>
      <c r="AA990" s="1"/>
      <c r="AB990" s="1"/>
      <c r="AC990" s="1"/>
      <c r="AD990" s="1"/>
      <c r="AE990" s="1"/>
      <c r="AF990" s="1"/>
      <c r="AG990" s="1"/>
      <c r="AH990" s="1"/>
      <c r="AI990" s="1"/>
    </row>
    <row r="991">
      <c r="A991" s="1"/>
      <c r="B991" s="3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35"/>
      <c r="Y991" s="35"/>
      <c r="Z991" s="35"/>
      <c r="AA991" s="1"/>
      <c r="AB991" s="1"/>
      <c r="AC991" s="1"/>
      <c r="AD991" s="1"/>
      <c r="AE991" s="1"/>
      <c r="AF991" s="1"/>
      <c r="AG991" s="1"/>
      <c r="AH991" s="1"/>
      <c r="AI991" s="1"/>
    </row>
    <row r="992">
      <c r="A992" s="1"/>
      <c r="B992" s="3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35"/>
      <c r="Y992" s="35"/>
      <c r="Z992" s="35"/>
      <c r="AA992" s="1"/>
      <c r="AB992" s="1"/>
      <c r="AC992" s="1"/>
      <c r="AD992" s="1"/>
      <c r="AE992" s="1"/>
      <c r="AF992" s="1"/>
      <c r="AG992" s="1"/>
      <c r="AH992" s="1"/>
      <c r="AI992" s="1"/>
    </row>
    <row r="993">
      <c r="A993" s="1"/>
      <c r="B993" s="3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35"/>
      <c r="Y993" s="35"/>
      <c r="Z993" s="35"/>
      <c r="AA993" s="1"/>
      <c r="AB993" s="1"/>
      <c r="AC993" s="1"/>
      <c r="AD993" s="1"/>
      <c r="AE993" s="1"/>
      <c r="AF993" s="1"/>
      <c r="AG993" s="1"/>
      <c r="AH993" s="1"/>
      <c r="AI993" s="1"/>
    </row>
    <row r="994">
      <c r="A994" s="1"/>
      <c r="B994" s="3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35"/>
      <c r="Y994" s="35"/>
      <c r="Z994" s="35"/>
      <c r="AA994" s="1"/>
      <c r="AB994" s="1"/>
      <c r="AC994" s="1"/>
      <c r="AD994" s="1"/>
      <c r="AE994" s="1"/>
      <c r="AF994" s="1"/>
      <c r="AG994" s="1"/>
      <c r="AH994" s="1"/>
      <c r="AI994" s="1"/>
    </row>
    <row r="995">
      <c r="A995" s="1"/>
      <c r="B995" s="3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35"/>
      <c r="Y995" s="35"/>
      <c r="Z995" s="35"/>
      <c r="AA995" s="1"/>
      <c r="AB995" s="1"/>
      <c r="AC995" s="1"/>
      <c r="AD995" s="1"/>
      <c r="AE995" s="1"/>
      <c r="AF995" s="1"/>
      <c r="AG995" s="1"/>
      <c r="AH995" s="1"/>
      <c r="AI995" s="1"/>
    </row>
    <row r="996">
      <c r="A996" s="1"/>
      <c r="B996" s="3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35"/>
      <c r="Y996" s="35"/>
      <c r="Z996" s="35"/>
      <c r="AA996" s="1"/>
      <c r="AB996" s="1"/>
      <c r="AC996" s="1"/>
      <c r="AD996" s="1"/>
      <c r="AE996" s="1"/>
      <c r="AF996" s="1"/>
      <c r="AG996" s="1"/>
      <c r="AH996" s="1"/>
      <c r="AI996" s="1"/>
    </row>
    <row r="997">
      <c r="A997" s="1"/>
      <c r="B997" s="3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35"/>
      <c r="Y997" s="35"/>
      <c r="Z997" s="35"/>
      <c r="AA997" s="1"/>
      <c r="AB997" s="1"/>
      <c r="AC997" s="1"/>
      <c r="AD997" s="1"/>
      <c r="AE997" s="1"/>
      <c r="AF997" s="1"/>
      <c r="AG997" s="1"/>
      <c r="AH997" s="1"/>
      <c r="AI997" s="1"/>
    </row>
    <row r="998">
      <c r="A998" s="1"/>
      <c r="B998" s="3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35"/>
      <c r="Y998" s="35"/>
      <c r="Z998" s="35"/>
      <c r="AA998" s="1"/>
      <c r="AB998" s="1"/>
      <c r="AC998" s="1"/>
      <c r="AD998" s="1"/>
      <c r="AE998" s="1"/>
      <c r="AF998" s="1"/>
      <c r="AG998" s="1"/>
      <c r="AH998" s="1"/>
      <c r="AI998" s="1"/>
    </row>
    <row r="999">
      <c r="A999" s="1"/>
      <c r="B999" s="3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35"/>
      <c r="Y999" s="35"/>
      <c r="Z999" s="35"/>
      <c r="AA999" s="1"/>
      <c r="AB999" s="1"/>
      <c r="AC999" s="1"/>
      <c r="AD999" s="1"/>
      <c r="AE999" s="1"/>
      <c r="AF999" s="1"/>
      <c r="AG999" s="1"/>
      <c r="AH999" s="1"/>
      <c r="AI999" s="1"/>
    </row>
    <row r="1000">
      <c r="A1000" s="1"/>
      <c r="B1000" s="3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35"/>
      <c r="Y1000" s="35"/>
      <c r="Z1000" s="35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>
      <c r="A1001" s="1"/>
      <c r="B1001" s="34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</sheetData>
  <mergeCells count="5">
    <mergeCell ref="B1:F1"/>
    <mergeCell ref="H1:K1"/>
    <mergeCell ref="L1:O1"/>
    <mergeCell ref="P1:W1"/>
    <mergeCell ref="X1:Z1"/>
  </mergeCells>
  <dataValidations>
    <dataValidation type="list" allowBlank="1" showErrorMessage="1" sqref="H3:H16">
      <formula1>"자의입원,응급입원,보호진단,보호입원,기타"</formula1>
    </dataValidation>
    <dataValidation type="list" allowBlank="1" showErrorMessage="1" sqref="F3:F16">
      <formula1>"남,여"</formula1>
    </dataValidation>
    <dataValidation type="list" allowBlank="1" showErrorMessage="1" sqref="K3:K16">
      <formula1>"재입원,시설연계,주거지원,연락두절,귀가,사망,전원,재노숙,기타"</formula1>
    </dataValidation>
    <dataValidation type="list" allowBlank="1" showErrorMessage="1" sqref="C3">
      <formula1>"박상준,조국일,최리선,안영호,김영민,임종혁"</formula1>
    </dataValidation>
    <dataValidation type="list" allowBlank="1" showErrorMessage="1" sqref="R3:R12">
      <formula1>"주거방문,병원방문"</formula1>
    </dataValidation>
    <dataValidation type="list" allowBlank="1" showErrorMessage="1" sqref="L3:L16">
      <formula1>"자활시설,재활시설,요양시설,일시보호,타복지시설,지원주택"</formula1>
    </dataValidation>
    <dataValidation type="list" allowBlank="1" showErrorMessage="1" sqref="G3:G16">
      <formula1>"정신,알콜,기타"</formula1>
    </dataValidation>
    <dataValidation type="list" allowBlank="1" showErrorMessage="1" sqref="O3:O16">
      <formula1>"전원,병원입원,주거지원,연락두절,재노숙,기타"</formula1>
    </dataValidation>
    <dataValidation type="list" allowBlank="1" showErrorMessage="1" sqref="J3:J16">
      <formula1>"입원,퇴원"</formula1>
    </dataValidation>
    <dataValidation type="list" allowBlank="1" showErrorMessage="1" sqref="V3:V13 X3:X14">
      <formula1>"말소복원,신분증재발급,긴급지원,수급신청,전입,기타"</formula1>
    </dataValidation>
    <dataValidation type="list" allowBlank="1" showErrorMessage="1" sqref="N3:N16">
      <formula1>"입소,퇴소"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70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</row>
    <row r="2">
      <c r="A2" s="40" t="s">
        <v>6</v>
      </c>
      <c r="B2" s="40" t="s">
        <v>71</v>
      </c>
      <c r="C2" s="41" t="s">
        <v>72</v>
      </c>
      <c r="D2" s="4"/>
      <c r="E2" s="4"/>
      <c r="F2" s="42"/>
      <c r="G2" s="41" t="s">
        <v>73</v>
      </c>
      <c r="H2" s="4"/>
      <c r="I2" s="4"/>
      <c r="J2" s="4"/>
      <c r="K2" s="4"/>
      <c r="L2" s="4"/>
      <c r="M2" s="4"/>
      <c r="N2" s="4"/>
      <c r="O2" s="42"/>
      <c r="P2" s="41" t="s">
        <v>74</v>
      </c>
      <c r="Q2" s="4"/>
      <c r="R2" s="4"/>
      <c r="S2" s="4"/>
      <c r="T2" s="42"/>
      <c r="U2" s="43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>
      <c r="A3" s="43"/>
      <c r="B3" s="44" t="s">
        <v>8</v>
      </c>
      <c r="C3" s="44" t="s">
        <v>75</v>
      </c>
      <c r="D3" s="44" t="s">
        <v>76</v>
      </c>
      <c r="E3" s="44" t="s">
        <v>77</v>
      </c>
      <c r="F3" s="44" t="s">
        <v>78</v>
      </c>
      <c r="G3" s="44" t="s">
        <v>33</v>
      </c>
      <c r="H3" s="44" t="s">
        <v>44</v>
      </c>
      <c r="I3" s="44" t="s">
        <v>61</v>
      </c>
      <c r="J3" s="44" t="s">
        <v>79</v>
      </c>
      <c r="K3" s="44" t="s">
        <v>80</v>
      </c>
      <c r="L3" s="44" t="s">
        <v>69</v>
      </c>
      <c r="M3" s="44" t="s">
        <v>20</v>
      </c>
      <c r="N3" s="44" t="s">
        <v>21</v>
      </c>
      <c r="O3" s="44" t="s">
        <v>81</v>
      </c>
      <c r="P3" s="44" t="s">
        <v>23</v>
      </c>
      <c r="Q3" s="44" t="s">
        <v>55</v>
      </c>
      <c r="R3" s="44" t="s">
        <v>82</v>
      </c>
      <c r="S3" s="44" t="s">
        <v>24</v>
      </c>
      <c r="T3" s="44" t="s">
        <v>83</v>
      </c>
      <c r="U3" s="44" t="s">
        <v>84</v>
      </c>
      <c r="V3" s="39"/>
      <c r="W3" s="45"/>
      <c r="X3" s="45"/>
      <c r="Y3" s="45"/>
      <c r="Z3" s="45"/>
      <c r="AA3" s="45"/>
      <c r="AB3" s="45"/>
      <c r="AC3" s="45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4">
      <c r="A4" s="46">
        <v>46023.0</v>
      </c>
      <c r="B4" s="47" t="s">
        <v>42</v>
      </c>
      <c r="C4" s="48"/>
      <c r="D4" s="48"/>
      <c r="E4" s="48"/>
      <c r="F4" s="49">
        <f t="shared" ref="F4:F10" si="1">SUM(C4:E4)</f>
        <v>0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0">
        <f t="shared" ref="U4:U11" si="2">sum(G4:T4)</f>
        <v>0</v>
      </c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</row>
    <row r="5">
      <c r="A5" s="50"/>
      <c r="B5" s="47" t="s">
        <v>85</v>
      </c>
      <c r="C5" s="48"/>
      <c r="D5" s="48"/>
      <c r="E5" s="48"/>
      <c r="F5" s="49">
        <f t="shared" si="1"/>
        <v>0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0">
        <f t="shared" si="2"/>
        <v>0</v>
      </c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</row>
    <row r="6">
      <c r="A6" s="50"/>
      <c r="B6" s="47" t="s">
        <v>36</v>
      </c>
      <c r="C6" s="48"/>
      <c r="D6" s="48"/>
      <c r="E6" s="48"/>
      <c r="F6" s="49">
        <f t="shared" si="1"/>
        <v>0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35"/>
      <c r="U6" s="40">
        <f t="shared" si="2"/>
        <v>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</row>
    <row r="7">
      <c r="A7" s="50"/>
      <c r="B7" s="47" t="s">
        <v>29</v>
      </c>
      <c r="C7" s="48"/>
      <c r="D7" s="48"/>
      <c r="E7" s="48"/>
      <c r="F7" s="49">
        <f t="shared" si="1"/>
        <v>0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0">
        <f t="shared" si="2"/>
        <v>0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</row>
    <row r="8">
      <c r="A8" s="50"/>
      <c r="B8" s="47" t="s">
        <v>86</v>
      </c>
      <c r="C8" s="48"/>
      <c r="D8" s="48"/>
      <c r="E8" s="48"/>
      <c r="F8" s="49">
        <f t="shared" si="1"/>
        <v>0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51">
        <f t="shared" si="2"/>
        <v>0</v>
      </c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>
      <c r="A9" s="50"/>
      <c r="B9" s="52" t="s">
        <v>87</v>
      </c>
      <c r="C9" s="53"/>
      <c r="D9" s="53"/>
      <c r="E9" s="53"/>
      <c r="F9" s="54">
        <f t="shared" si="1"/>
        <v>0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40">
        <f t="shared" si="2"/>
        <v>0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</row>
    <row r="10">
      <c r="A10" s="50"/>
      <c r="B10" s="52" t="s">
        <v>88</v>
      </c>
      <c r="C10" s="53"/>
      <c r="D10" s="53"/>
      <c r="E10" s="53"/>
      <c r="F10" s="54">
        <f t="shared" si="1"/>
        <v>0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40">
        <f t="shared" si="2"/>
        <v>0</v>
      </c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</row>
    <row r="11">
      <c r="A11" s="50"/>
      <c r="B11" s="55" t="s">
        <v>89</v>
      </c>
      <c r="C11" s="55">
        <f t="shared" ref="C11:T11" si="3">SUM(C4:C10)</f>
        <v>0</v>
      </c>
      <c r="D11" s="55">
        <f t="shared" si="3"/>
        <v>0</v>
      </c>
      <c r="E11" s="55">
        <f t="shared" si="3"/>
        <v>0</v>
      </c>
      <c r="F11" s="55">
        <f t="shared" si="3"/>
        <v>0</v>
      </c>
      <c r="G11" s="55">
        <f t="shared" si="3"/>
        <v>0</v>
      </c>
      <c r="H11" s="55">
        <f t="shared" si="3"/>
        <v>0</v>
      </c>
      <c r="I11" s="55">
        <f t="shared" si="3"/>
        <v>0</v>
      </c>
      <c r="J11" s="55">
        <f t="shared" si="3"/>
        <v>0</v>
      </c>
      <c r="K11" s="55">
        <f t="shared" si="3"/>
        <v>0</v>
      </c>
      <c r="L11" s="55">
        <f t="shared" si="3"/>
        <v>0</v>
      </c>
      <c r="M11" s="55">
        <f t="shared" si="3"/>
        <v>0</v>
      </c>
      <c r="N11" s="55">
        <f t="shared" si="3"/>
        <v>0</v>
      </c>
      <c r="O11" s="55">
        <f t="shared" si="3"/>
        <v>0</v>
      </c>
      <c r="P11" s="55">
        <f t="shared" si="3"/>
        <v>0</v>
      </c>
      <c r="Q11" s="55">
        <f t="shared" si="3"/>
        <v>0</v>
      </c>
      <c r="R11" s="55">
        <f t="shared" si="3"/>
        <v>0</v>
      </c>
      <c r="S11" s="55">
        <f t="shared" si="3"/>
        <v>0</v>
      </c>
      <c r="T11" s="55">
        <f t="shared" si="3"/>
        <v>0</v>
      </c>
      <c r="U11" s="40">
        <f t="shared" si="2"/>
        <v>0</v>
      </c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</row>
    <row r="12">
      <c r="A12" s="56"/>
      <c r="B12" s="57" t="s">
        <v>90</v>
      </c>
      <c r="C12" s="58">
        <f t="shared" ref="C12:U12" si="4">C11</f>
        <v>0</v>
      </c>
      <c r="D12" s="58">
        <f t="shared" si="4"/>
        <v>0</v>
      </c>
      <c r="E12" s="58">
        <f t="shared" si="4"/>
        <v>0</v>
      </c>
      <c r="F12" s="58">
        <f t="shared" si="4"/>
        <v>0</v>
      </c>
      <c r="G12" s="58">
        <f t="shared" si="4"/>
        <v>0</v>
      </c>
      <c r="H12" s="58">
        <f t="shared" si="4"/>
        <v>0</v>
      </c>
      <c r="I12" s="58">
        <f t="shared" si="4"/>
        <v>0</v>
      </c>
      <c r="J12" s="58">
        <f t="shared" si="4"/>
        <v>0</v>
      </c>
      <c r="K12" s="58">
        <f t="shared" si="4"/>
        <v>0</v>
      </c>
      <c r="L12" s="58">
        <f t="shared" si="4"/>
        <v>0</v>
      </c>
      <c r="M12" s="58">
        <f t="shared" si="4"/>
        <v>0</v>
      </c>
      <c r="N12" s="58">
        <f t="shared" si="4"/>
        <v>0</v>
      </c>
      <c r="O12" s="58">
        <f t="shared" si="4"/>
        <v>0</v>
      </c>
      <c r="P12" s="58">
        <f t="shared" si="4"/>
        <v>0</v>
      </c>
      <c r="Q12" s="58">
        <f t="shared" si="4"/>
        <v>0</v>
      </c>
      <c r="R12" s="58">
        <f t="shared" si="4"/>
        <v>0</v>
      </c>
      <c r="S12" s="58">
        <f t="shared" si="4"/>
        <v>0</v>
      </c>
      <c r="T12" s="58">
        <f t="shared" si="4"/>
        <v>0</v>
      </c>
      <c r="U12" s="58">
        <f t="shared" si="4"/>
        <v>0</v>
      </c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</row>
    <row r="13">
      <c r="A13" s="46">
        <v>46024.0</v>
      </c>
      <c r="B13" s="47" t="s">
        <v>42</v>
      </c>
      <c r="C13" s="49">
        <v>3.0</v>
      </c>
      <c r="D13" s="49">
        <v>1.0</v>
      </c>
      <c r="E13" s="48"/>
      <c r="F13" s="49">
        <f t="shared" ref="F13:F19" si="5">SUM(C13:E13)</f>
        <v>4</v>
      </c>
      <c r="G13" s="49">
        <v>1.0</v>
      </c>
      <c r="H13" s="48"/>
      <c r="I13" s="48"/>
      <c r="J13" s="49">
        <v>1.0</v>
      </c>
      <c r="K13" s="48"/>
      <c r="L13" s="48"/>
      <c r="M13" s="48"/>
      <c r="N13" s="48"/>
      <c r="O13" s="48"/>
      <c r="P13" s="49">
        <v>2.0</v>
      </c>
      <c r="Q13" s="48"/>
      <c r="R13" s="48"/>
      <c r="S13" s="48"/>
      <c r="T13" s="48"/>
      <c r="U13" s="40">
        <f t="shared" ref="U13:U20" si="6">sum(G13:T13)</f>
        <v>4</v>
      </c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</row>
    <row r="14">
      <c r="A14" s="50"/>
      <c r="B14" s="47" t="s">
        <v>85</v>
      </c>
      <c r="C14" s="49">
        <v>1.0</v>
      </c>
      <c r="D14" s="48"/>
      <c r="E14" s="48"/>
      <c r="F14" s="49">
        <f t="shared" si="5"/>
        <v>1</v>
      </c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9">
        <v>1.0</v>
      </c>
      <c r="U14" s="40">
        <f t="shared" si="6"/>
        <v>1</v>
      </c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</row>
    <row r="15">
      <c r="A15" s="50"/>
      <c r="B15" s="47" t="s">
        <v>36</v>
      </c>
      <c r="C15" s="49">
        <v>12.0</v>
      </c>
      <c r="D15" s="49">
        <v>4.0</v>
      </c>
      <c r="E15" s="48"/>
      <c r="F15" s="49">
        <f t="shared" si="5"/>
        <v>16</v>
      </c>
      <c r="G15" s="48"/>
      <c r="H15" s="48"/>
      <c r="I15" s="48"/>
      <c r="J15" s="48"/>
      <c r="K15" s="48"/>
      <c r="L15" s="48"/>
      <c r="M15" s="48"/>
      <c r="N15" s="48"/>
      <c r="O15" s="49">
        <v>1.0</v>
      </c>
      <c r="P15" s="49">
        <v>14.0</v>
      </c>
      <c r="Q15" s="48"/>
      <c r="R15" s="48"/>
      <c r="S15" s="48"/>
      <c r="T15" s="49">
        <v>1.0</v>
      </c>
      <c r="U15" s="40">
        <f t="shared" si="6"/>
        <v>16</v>
      </c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</row>
    <row r="16">
      <c r="A16" s="50"/>
      <c r="B16" s="47" t="s">
        <v>29</v>
      </c>
      <c r="C16" s="48"/>
      <c r="D16" s="48"/>
      <c r="E16" s="48"/>
      <c r="F16" s="49">
        <f t="shared" si="5"/>
        <v>0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0">
        <f t="shared" si="6"/>
        <v>0</v>
      </c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</row>
    <row r="17">
      <c r="A17" s="50"/>
      <c r="B17" s="47" t="s">
        <v>86</v>
      </c>
      <c r="C17" s="49">
        <v>19.0</v>
      </c>
      <c r="D17" s="49">
        <v>11.0</v>
      </c>
      <c r="E17" s="48"/>
      <c r="F17" s="49">
        <f t="shared" si="5"/>
        <v>30</v>
      </c>
      <c r="G17" s="48"/>
      <c r="H17" s="48"/>
      <c r="I17" s="48"/>
      <c r="J17" s="48"/>
      <c r="K17" s="48"/>
      <c r="L17" s="48"/>
      <c r="M17" s="48"/>
      <c r="N17" s="48"/>
      <c r="O17" s="49">
        <v>2.0</v>
      </c>
      <c r="P17" s="49">
        <v>5.0</v>
      </c>
      <c r="Q17" s="48"/>
      <c r="R17" s="49">
        <v>25.0</v>
      </c>
      <c r="S17" s="48"/>
      <c r="T17" s="48"/>
      <c r="U17" s="51">
        <f t="shared" si="6"/>
        <v>32</v>
      </c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</row>
    <row r="18">
      <c r="A18" s="50"/>
      <c r="B18" s="52" t="s">
        <v>87</v>
      </c>
      <c r="C18" s="54">
        <v>4.0</v>
      </c>
      <c r="D18" s="54">
        <v>2.0</v>
      </c>
      <c r="E18" s="53"/>
      <c r="F18" s="54">
        <f t="shared" si="5"/>
        <v>6</v>
      </c>
      <c r="G18" s="53"/>
      <c r="H18" s="53"/>
      <c r="I18" s="53"/>
      <c r="J18" s="53"/>
      <c r="K18" s="53"/>
      <c r="L18" s="53"/>
      <c r="M18" s="53"/>
      <c r="N18" s="53"/>
      <c r="O18" s="53"/>
      <c r="P18" s="54">
        <v>2.0</v>
      </c>
      <c r="Q18" s="53"/>
      <c r="R18" s="53"/>
      <c r="S18" s="53"/>
      <c r="T18" s="54">
        <v>6.0</v>
      </c>
      <c r="U18" s="40">
        <f t="shared" si="6"/>
        <v>8</v>
      </c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</row>
    <row r="19">
      <c r="A19" s="50"/>
      <c r="B19" s="52" t="s">
        <v>88</v>
      </c>
      <c r="C19" s="53"/>
      <c r="D19" s="53"/>
      <c r="E19" s="53"/>
      <c r="F19" s="54">
        <f t="shared" si="5"/>
        <v>0</v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40">
        <f t="shared" si="6"/>
        <v>0</v>
      </c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</row>
    <row r="20">
      <c r="A20" s="50"/>
      <c r="B20" s="55" t="s">
        <v>89</v>
      </c>
      <c r="C20" s="55">
        <f t="shared" ref="C20:T20" si="7">SUM(C13:C19)</f>
        <v>39</v>
      </c>
      <c r="D20" s="55">
        <f t="shared" si="7"/>
        <v>18</v>
      </c>
      <c r="E20" s="55">
        <f t="shared" si="7"/>
        <v>0</v>
      </c>
      <c r="F20" s="55">
        <f t="shared" si="7"/>
        <v>57</v>
      </c>
      <c r="G20" s="55">
        <f t="shared" si="7"/>
        <v>1</v>
      </c>
      <c r="H20" s="55">
        <f t="shared" si="7"/>
        <v>0</v>
      </c>
      <c r="I20" s="55">
        <f t="shared" si="7"/>
        <v>0</v>
      </c>
      <c r="J20" s="55">
        <f t="shared" si="7"/>
        <v>1</v>
      </c>
      <c r="K20" s="55">
        <f t="shared" si="7"/>
        <v>0</v>
      </c>
      <c r="L20" s="55">
        <f t="shared" si="7"/>
        <v>0</v>
      </c>
      <c r="M20" s="55">
        <f t="shared" si="7"/>
        <v>0</v>
      </c>
      <c r="N20" s="55">
        <f t="shared" si="7"/>
        <v>0</v>
      </c>
      <c r="O20" s="55">
        <f t="shared" si="7"/>
        <v>3</v>
      </c>
      <c r="P20" s="55">
        <f t="shared" si="7"/>
        <v>23</v>
      </c>
      <c r="Q20" s="55">
        <f t="shared" si="7"/>
        <v>0</v>
      </c>
      <c r="R20" s="55">
        <f t="shared" si="7"/>
        <v>25</v>
      </c>
      <c r="S20" s="55">
        <f t="shared" si="7"/>
        <v>0</v>
      </c>
      <c r="T20" s="55">
        <f t="shared" si="7"/>
        <v>8</v>
      </c>
      <c r="U20" s="40">
        <f t="shared" si="6"/>
        <v>61</v>
      </c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</row>
    <row r="21">
      <c r="A21" s="56"/>
      <c r="B21" s="57" t="s">
        <v>90</v>
      </c>
      <c r="C21" s="58">
        <f t="shared" ref="C21:U21" si="8">C12+C20</f>
        <v>39</v>
      </c>
      <c r="D21" s="58">
        <f t="shared" si="8"/>
        <v>18</v>
      </c>
      <c r="E21" s="58">
        <f t="shared" si="8"/>
        <v>0</v>
      </c>
      <c r="F21" s="58">
        <f t="shared" si="8"/>
        <v>57</v>
      </c>
      <c r="G21" s="58">
        <f t="shared" si="8"/>
        <v>1</v>
      </c>
      <c r="H21" s="58">
        <f t="shared" si="8"/>
        <v>0</v>
      </c>
      <c r="I21" s="58">
        <f t="shared" si="8"/>
        <v>0</v>
      </c>
      <c r="J21" s="58">
        <f t="shared" si="8"/>
        <v>1</v>
      </c>
      <c r="K21" s="58">
        <f t="shared" si="8"/>
        <v>0</v>
      </c>
      <c r="L21" s="58">
        <f t="shared" si="8"/>
        <v>0</v>
      </c>
      <c r="M21" s="58">
        <f t="shared" si="8"/>
        <v>0</v>
      </c>
      <c r="N21" s="58">
        <f t="shared" si="8"/>
        <v>0</v>
      </c>
      <c r="O21" s="58">
        <f t="shared" si="8"/>
        <v>3</v>
      </c>
      <c r="P21" s="58">
        <f t="shared" si="8"/>
        <v>23</v>
      </c>
      <c r="Q21" s="58">
        <f t="shared" si="8"/>
        <v>0</v>
      </c>
      <c r="R21" s="58">
        <f t="shared" si="8"/>
        <v>25</v>
      </c>
      <c r="S21" s="58">
        <f t="shared" si="8"/>
        <v>0</v>
      </c>
      <c r="T21" s="58">
        <f t="shared" si="8"/>
        <v>8</v>
      </c>
      <c r="U21" s="40">
        <f t="shared" si="8"/>
        <v>61</v>
      </c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</row>
    <row r="22">
      <c r="A22" s="46">
        <v>46025.0</v>
      </c>
      <c r="B22" s="47" t="s">
        <v>42</v>
      </c>
      <c r="C22" s="48"/>
      <c r="D22" s="48"/>
      <c r="E22" s="48"/>
      <c r="F22" s="49">
        <f t="shared" ref="F22:F28" si="9">SUM(C22:E22)</f>
        <v>0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0">
        <f t="shared" ref="U22:U29" si="10">sum(G22:T22)</f>
        <v>0</v>
      </c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</row>
    <row r="23">
      <c r="A23" s="50"/>
      <c r="B23" s="47" t="s">
        <v>85</v>
      </c>
      <c r="C23" s="48"/>
      <c r="D23" s="48"/>
      <c r="E23" s="48"/>
      <c r="F23" s="49">
        <f t="shared" si="9"/>
        <v>0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0">
        <f t="shared" si="10"/>
        <v>0</v>
      </c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</row>
    <row r="24">
      <c r="A24" s="50"/>
      <c r="B24" s="47" t="s">
        <v>36</v>
      </c>
      <c r="C24" s="49">
        <v>3.0</v>
      </c>
      <c r="D24" s="48"/>
      <c r="E24" s="48"/>
      <c r="F24" s="49">
        <f t="shared" si="9"/>
        <v>3</v>
      </c>
      <c r="G24" s="48"/>
      <c r="H24" s="48"/>
      <c r="I24" s="48"/>
      <c r="J24" s="48"/>
      <c r="K24" s="48"/>
      <c r="L24" s="48"/>
      <c r="M24" s="48"/>
      <c r="N24" s="48"/>
      <c r="O24" s="48"/>
      <c r="P24" s="49">
        <v>3.0</v>
      </c>
      <c r="Q24" s="48"/>
      <c r="R24" s="48"/>
      <c r="S24" s="48"/>
      <c r="T24" s="48"/>
      <c r="U24" s="40">
        <f t="shared" si="10"/>
        <v>3</v>
      </c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</row>
    <row r="25">
      <c r="A25" s="50"/>
      <c r="B25" s="47" t="s">
        <v>29</v>
      </c>
      <c r="C25" s="49">
        <v>5.0</v>
      </c>
      <c r="D25" s="49">
        <v>2.0</v>
      </c>
      <c r="E25" s="48"/>
      <c r="F25" s="49">
        <f t="shared" si="9"/>
        <v>7</v>
      </c>
      <c r="G25" s="48"/>
      <c r="H25" s="48"/>
      <c r="I25" s="48"/>
      <c r="J25" s="48"/>
      <c r="K25" s="48"/>
      <c r="L25" s="48"/>
      <c r="M25" s="48"/>
      <c r="N25" s="48"/>
      <c r="O25" s="48"/>
      <c r="P25" s="49">
        <v>7.0</v>
      </c>
      <c r="Q25" s="48"/>
      <c r="R25" s="48"/>
      <c r="S25" s="48"/>
      <c r="T25" s="48"/>
      <c r="U25" s="40">
        <f t="shared" si="10"/>
        <v>7</v>
      </c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</row>
    <row r="26">
      <c r="A26" s="50"/>
      <c r="B26" s="47" t="s">
        <v>86</v>
      </c>
      <c r="C26" s="48"/>
      <c r="D26" s="48"/>
      <c r="E26" s="48"/>
      <c r="F26" s="49">
        <f t="shared" si="9"/>
        <v>0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51">
        <f t="shared" si="10"/>
        <v>0</v>
      </c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</row>
    <row r="27">
      <c r="A27" s="50"/>
      <c r="B27" s="52" t="s">
        <v>87</v>
      </c>
      <c r="C27" s="53"/>
      <c r="D27" s="53"/>
      <c r="E27" s="53"/>
      <c r="F27" s="54">
        <f t="shared" si="9"/>
        <v>0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40">
        <f t="shared" si="10"/>
        <v>0</v>
      </c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</row>
    <row r="28">
      <c r="A28" s="50"/>
      <c r="B28" s="52" t="s">
        <v>88</v>
      </c>
      <c r="C28" s="54">
        <v>0.0</v>
      </c>
      <c r="D28" s="54">
        <v>0.0</v>
      </c>
      <c r="E28" s="53"/>
      <c r="F28" s="54">
        <f t="shared" si="9"/>
        <v>0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40">
        <f t="shared" si="10"/>
        <v>0</v>
      </c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</row>
    <row r="29">
      <c r="A29" s="50"/>
      <c r="B29" s="55" t="s">
        <v>89</v>
      </c>
      <c r="C29" s="55">
        <f t="shared" ref="C29:T29" si="11">SUM(C22:C28)</f>
        <v>8</v>
      </c>
      <c r="D29" s="55">
        <f t="shared" si="11"/>
        <v>2</v>
      </c>
      <c r="E29" s="55">
        <f t="shared" si="11"/>
        <v>0</v>
      </c>
      <c r="F29" s="55">
        <f t="shared" si="11"/>
        <v>10</v>
      </c>
      <c r="G29" s="55">
        <f t="shared" si="11"/>
        <v>0</v>
      </c>
      <c r="H29" s="55">
        <f t="shared" si="11"/>
        <v>0</v>
      </c>
      <c r="I29" s="55">
        <f t="shared" si="11"/>
        <v>0</v>
      </c>
      <c r="J29" s="55">
        <f t="shared" si="11"/>
        <v>0</v>
      </c>
      <c r="K29" s="55">
        <f t="shared" si="11"/>
        <v>0</v>
      </c>
      <c r="L29" s="55">
        <f t="shared" si="11"/>
        <v>0</v>
      </c>
      <c r="M29" s="55">
        <f t="shared" si="11"/>
        <v>0</v>
      </c>
      <c r="N29" s="55">
        <f t="shared" si="11"/>
        <v>0</v>
      </c>
      <c r="O29" s="55">
        <f t="shared" si="11"/>
        <v>0</v>
      </c>
      <c r="P29" s="55">
        <f t="shared" si="11"/>
        <v>10</v>
      </c>
      <c r="Q29" s="55">
        <f t="shared" si="11"/>
        <v>0</v>
      </c>
      <c r="R29" s="55">
        <f t="shared" si="11"/>
        <v>0</v>
      </c>
      <c r="S29" s="55">
        <f t="shared" si="11"/>
        <v>0</v>
      </c>
      <c r="T29" s="55">
        <f t="shared" si="11"/>
        <v>0</v>
      </c>
      <c r="U29" s="40">
        <f t="shared" si="10"/>
        <v>10</v>
      </c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</row>
    <row r="30">
      <c r="A30" s="56"/>
      <c r="B30" s="57" t="s">
        <v>90</v>
      </c>
      <c r="C30" s="58">
        <f t="shared" ref="C30:U30" si="12">C21+C29</f>
        <v>47</v>
      </c>
      <c r="D30" s="58">
        <f t="shared" si="12"/>
        <v>20</v>
      </c>
      <c r="E30" s="58">
        <f t="shared" si="12"/>
        <v>0</v>
      </c>
      <c r="F30" s="58">
        <f t="shared" si="12"/>
        <v>67</v>
      </c>
      <c r="G30" s="58">
        <f t="shared" si="12"/>
        <v>1</v>
      </c>
      <c r="H30" s="58">
        <f t="shared" si="12"/>
        <v>0</v>
      </c>
      <c r="I30" s="58">
        <f t="shared" si="12"/>
        <v>0</v>
      </c>
      <c r="J30" s="58">
        <f t="shared" si="12"/>
        <v>1</v>
      </c>
      <c r="K30" s="58">
        <f t="shared" si="12"/>
        <v>0</v>
      </c>
      <c r="L30" s="58">
        <f t="shared" si="12"/>
        <v>0</v>
      </c>
      <c r="M30" s="58">
        <f t="shared" si="12"/>
        <v>0</v>
      </c>
      <c r="N30" s="58">
        <f t="shared" si="12"/>
        <v>0</v>
      </c>
      <c r="O30" s="58">
        <f t="shared" si="12"/>
        <v>3</v>
      </c>
      <c r="P30" s="58">
        <f t="shared" si="12"/>
        <v>33</v>
      </c>
      <c r="Q30" s="58">
        <f t="shared" si="12"/>
        <v>0</v>
      </c>
      <c r="R30" s="58">
        <f t="shared" si="12"/>
        <v>25</v>
      </c>
      <c r="S30" s="58">
        <f t="shared" si="12"/>
        <v>0</v>
      </c>
      <c r="T30" s="58">
        <f t="shared" si="12"/>
        <v>8</v>
      </c>
      <c r="U30" s="40">
        <f t="shared" si="12"/>
        <v>71</v>
      </c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</row>
    <row r="31">
      <c r="A31" s="46">
        <v>46026.0</v>
      </c>
      <c r="B31" s="47" t="s">
        <v>42</v>
      </c>
      <c r="C31" s="48"/>
      <c r="D31" s="48"/>
      <c r="E31" s="48"/>
      <c r="F31" s="49">
        <f t="shared" ref="F31:F37" si="13">SUM(C31:E31)</f>
        <v>0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0">
        <f t="shared" ref="U31:U38" si="14">sum(G31:T31)</f>
        <v>0</v>
      </c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</row>
    <row r="32">
      <c r="A32" s="50"/>
      <c r="B32" s="47" t="s">
        <v>85</v>
      </c>
      <c r="C32" s="48"/>
      <c r="D32" s="59"/>
      <c r="E32" s="48"/>
      <c r="F32" s="49">
        <f t="shared" si="13"/>
        <v>0</v>
      </c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0">
        <f t="shared" si="14"/>
        <v>0</v>
      </c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</row>
    <row r="33">
      <c r="A33" s="50"/>
      <c r="B33" s="47" t="s">
        <v>36</v>
      </c>
      <c r="C33" s="48"/>
      <c r="D33" s="48"/>
      <c r="E33" s="48"/>
      <c r="F33" s="49">
        <f t="shared" si="13"/>
        <v>0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0">
        <f t="shared" si="14"/>
        <v>0</v>
      </c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</row>
    <row r="34">
      <c r="A34" s="50"/>
      <c r="B34" s="47" t="s">
        <v>29</v>
      </c>
      <c r="C34" s="48"/>
      <c r="D34" s="48"/>
      <c r="E34" s="48"/>
      <c r="F34" s="49">
        <f t="shared" si="13"/>
        <v>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0">
        <f t="shared" si="14"/>
        <v>0</v>
      </c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</row>
    <row r="35">
      <c r="A35" s="50"/>
      <c r="B35" s="47" t="s">
        <v>86</v>
      </c>
      <c r="C35" s="48"/>
      <c r="D35" s="48"/>
      <c r="E35" s="48"/>
      <c r="F35" s="49">
        <f t="shared" si="13"/>
        <v>0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51">
        <f t="shared" si="14"/>
        <v>0</v>
      </c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</row>
    <row r="36">
      <c r="A36" s="50"/>
      <c r="B36" s="52" t="s">
        <v>87</v>
      </c>
      <c r="C36" s="53"/>
      <c r="D36" s="53"/>
      <c r="E36" s="53"/>
      <c r="F36" s="54">
        <f t="shared" si="13"/>
        <v>0</v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40">
        <f t="shared" si="14"/>
        <v>0</v>
      </c>
      <c r="V36" s="35"/>
      <c r="W36" s="60">
        <v>62.0</v>
      </c>
      <c r="X36" s="60">
        <v>20.0</v>
      </c>
      <c r="Y36" s="60">
        <v>0.0</v>
      </c>
      <c r="Z36" s="60">
        <v>82.0</v>
      </c>
      <c r="AA36" s="60">
        <v>2.0</v>
      </c>
      <c r="AB36" s="60">
        <v>0.0</v>
      </c>
      <c r="AC36" s="60">
        <v>1.0</v>
      </c>
      <c r="AD36" s="60">
        <v>0.0</v>
      </c>
      <c r="AE36" s="60">
        <v>0.0</v>
      </c>
      <c r="AF36" s="60">
        <v>8.0</v>
      </c>
      <c r="AG36" s="60">
        <v>0.0</v>
      </c>
      <c r="AH36" s="60">
        <v>0.0</v>
      </c>
      <c r="AI36" s="60">
        <v>1.0</v>
      </c>
      <c r="AJ36" s="60">
        <v>46.0</v>
      </c>
      <c r="AK36" s="60">
        <v>0.0</v>
      </c>
      <c r="AL36" s="60">
        <v>16.0</v>
      </c>
      <c r="AM36" s="60">
        <v>0.0</v>
      </c>
      <c r="AN36" s="60">
        <v>8.0</v>
      </c>
    </row>
    <row r="37">
      <c r="A37" s="50"/>
      <c r="B37" s="52" t="s">
        <v>88</v>
      </c>
      <c r="C37" s="53"/>
      <c r="D37" s="53"/>
      <c r="E37" s="53"/>
      <c r="F37" s="54">
        <f t="shared" si="13"/>
        <v>0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40">
        <f t="shared" si="14"/>
        <v>0</v>
      </c>
      <c r="V37" s="35"/>
      <c r="W37" s="60">
        <v>35.0</v>
      </c>
      <c r="X37" s="60">
        <v>16.0</v>
      </c>
      <c r="Y37" s="60">
        <v>0.0</v>
      </c>
      <c r="Z37" s="60">
        <v>51.0</v>
      </c>
      <c r="AA37" s="60">
        <v>2.0</v>
      </c>
      <c r="AB37" s="60">
        <v>0.0</v>
      </c>
      <c r="AC37" s="60">
        <v>0.0</v>
      </c>
      <c r="AD37" s="60">
        <v>1.0</v>
      </c>
      <c r="AE37" s="60">
        <v>0.0</v>
      </c>
      <c r="AF37" s="60">
        <v>0.0</v>
      </c>
      <c r="AG37" s="60">
        <v>0.0</v>
      </c>
      <c r="AH37" s="60">
        <v>0.0</v>
      </c>
      <c r="AI37" s="60">
        <v>3.0</v>
      </c>
      <c r="AJ37" s="60">
        <v>21.0</v>
      </c>
      <c r="AK37" s="60">
        <v>0.0</v>
      </c>
      <c r="AL37" s="60">
        <v>25.0</v>
      </c>
      <c r="AM37" s="60">
        <v>0.0</v>
      </c>
      <c r="AN37" s="60">
        <v>2.0</v>
      </c>
    </row>
    <row r="38">
      <c r="A38" s="50"/>
      <c r="B38" s="55" t="s">
        <v>89</v>
      </c>
      <c r="C38" s="55">
        <f t="shared" ref="C38:T38" si="15">SUM(C31:C37)</f>
        <v>0</v>
      </c>
      <c r="D38" s="55">
        <f t="shared" si="15"/>
        <v>0</v>
      </c>
      <c r="E38" s="55">
        <f t="shared" si="15"/>
        <v>0</v>
      </c>
      <c r="F38" s="55">
        <f t="shared" si="15"/>
        <v>0</v>
      </c>
      <c r="G38" s="55">
        <f t="shared" si="15"/>
        <v>0</v>
      </c>
      <c r="H38" s="55">
        <f t="shared" si="15"/>
        <v>0</v>
      </c>
      <c r="I38" s="55">
        <f t="shared" si="15"/>
        <v>0</v>
      </c>
      <c r="J38" s="55">
        <f t="shared" si="15"/>
        <v>0</v>
      </c>
      <c r="K38" s="55">
        <f t="shared" si="15"/>
        <v>0</v>
      </c>
      <c r="L38" s="55">
        <f t="shared" si="15"/>
        <v>0</v>
      </c>
      <c r="M38" s="55">
        <f t="shared" si="15"/>
        <v>0</v>
      </c>
      <c r="N38" s="55">
        <f t="shared" si="15"/>
        <v>0</v>
      </c>
      <c r="O38" s="55">
        <f t="shared" si="15"/>
        <v>0</v>
      </c>
      <c r="P38" s="55">
        <f t="shared" si="15"/>
        <v>0</v>
      </c>
      <c r="Q38" s="55">
        <f t="shared" si="15"/>
        <v>0</v>
      </c>
      <c r="R38" s="55">
        <f t="shared" si="15"/>
        <v>0</v>
      </c>
      <c r="S38" s="55">
        <f t="shared" si="15"/>
        <v>0</v>
      </c>
      <c r="T38" s="55">
        <f t="shared" si="15"/>
        <v>0</v>
      </c>
      <c r="U38" s="40">
        <f t="shared" si="14"/>
        <v>0</v>
      </c>
      <c r="V38" s="61" t="s">
        <v>91</v>
      </c>
      <c r="W38" s="61" t="s">
        <v>75</v>
      </c>
      <c r="X38" s="61" t="s">
        <v>76</v>
      </c>
      <c r="Y38" s="61" t="s">
        <v>77</v>
      </c>
      <c r="Z38" s="61" t="s">
        <v>78</v>
      </c>
      <c r="AA38" s="61" t="s">
        <v>33</v>
      </c>
      <c r="AB38" s="61" t="s">
        <v>44</v>
      </c>
      <c r="AC38" s="61" t="s">
        <v>61</v>
      </c>
      <c r="AD38" s="61" t="s">
        <v>92</v>
      </c>
      <c r="AE38" s="61" t="s">
        <v>93</v>
      </c>
      <c r="AF38" s="61" t="s">
        <v>69</v>
      </c>
      <c r="AG38" s="61" t="s">
        <v>20</v>
      </c>
      <c r="AH38" s="61" t="s">
        <v>21</v>
      </c>
      <c r="AI38" s="62" t="s">
        <v>94</v>
      </c>
      <c r="AJ38" s="61" t="s">
        <v>23</v>
      </c>
      <c r="AK38" s="61" t="s">
        <v>55</v>
      </c>
      <c r="AL38" s="61" t="s">
        <v>82</v>
      </c>
      <c r="AM38" s="61" t="s">
        <v>24</v>
      </c>
      <c r="AN38" s="61" t="s">
        <v>95</v>
      </c>
    </row>
    <row r="39">
      <c r="A39" s="56"/>
      <c r="B39" s="57" t="s">
        <v>90</v>
      </c>
      <c r="C39" s="58">
        <f t="shared" ref="C39:U39" si="16">C30+C38</f>
        <v>47</v>
      </c>
      <c r="D39" s="58">
        <f t="shared" si="16"/>
        <v>20</v>
      </c>
      <c r="E39" s="58">
        <f t="shared" si="16"/>
        <v>0</v>
      </c>
      <c r="F39" s="58">
        <f t="shared" si="16"/>
        <v>67</v>
      </c>
      <c r="G39" s="58">
        <f t="shared" si="16"/>
        <v>1</v>
      </c>
      <c r="H39" s="58">
        <f t="shared" si="16"/>
        <v>0</v>
      </c>
      <c r="I39" s="58">
        <f t="shared" si="16"/>
        <v>0</v>
      </c>
      <c r="J39" s="58">
        <f t="shared" si="16"/>
        <v>1</v>
      </c>
      <c r="K39" s="58">
        <f t="shared" si="16"/>
        <v>0</v>
      </c>
      <c r="L39" s="58">
        <f t="shared" si="16"/>
        <v>0</v>
      </c>
      <c r="M39" s="58">
        <f t="shared" si="16"/>
        <v>0</v>
      </c>
      <c r="N39" s="58">
        <f t="shared" si="16"/>
        <v>0</v>
      </c>
      <c r="O39" s="58">
        <f t="shared" si="16"/>
        <v>3</v>
      </c>
      <c r="P39" s="58">
        <f t="shared" si="16"/>
        <v>33</v>
      </c>
      <c r="Q39" s="58">
        <f t="shared" si="16"/>
        <v>0</v>
      </c>
      <c r="R39" s="58">
        <f t="shared" si="16"/>
        <v>25</v>
      </c>
      <c r="S39" s="58">
        <f t="shared" si="16"/>
        <v>0</v>
      </c>
      <c r="T39" s="58">
        <f t="shared" si="16"/>
        <v>8</v>
      </c>
      <c r="U39" s="40">
        <f t="shared" si="16"/>
        <v>71</v>
      </c>
      <c r="V39" s="63" t="s">
        <v>96</v>
      </c>
      <c r="W39" s="64">
        <f t="shared" ref="W39:AN39" si="17">W36+W37</f>
        <v>97</v>
      </c>
      <c r="X39" s="64">
        <f t="shared" si="17"/>
        <v>36</v>
      </c>
      <c r="Y39" s="64">
        <f t="shared" si="17"/>
        <v>0</v>
      </c>
      <c r="Z39" s="64">
        <f t="shared" si="17"/>
        <v>133</v>
      </c>
      <c r="AA39" s="64">
        <f t="shared" si="17"/>
        <v>4</v>
      </c>
      <c r="AB39" s="64">
        <f t="shared" si="17"/>
        <v>0</v>
      </c>
      <c r="AC39" s="64">
        <f t="shared" si="17"/>
        <v>1</v>
      </c>
      <c r="AD39" s="64">
        <f t="shared" si="17"/>
        <v>1</v>
      </c>
      <c r="AE39" s="64">
        <f t="shared" si="17"/>
        <v>0</v>
      </c>
      <c r="AF39" s="64">
        <f t="shared" si="17"/>
        <v>8</v>
      </c>
      <c r="AG39" s="64">
        <f t="shared" si="17"/>
        <v>0</v>
      </c>
      <c r="AH39" s="64">
        <f t="shared" si="17"/>
        <v>0</v>
      </c>
      <c r="AI39" s="64">
        <f t="shared" si="17"/>
        <v>4</v>
      </c>
      <c r="AJ39" s="64">
        <f t="shared" si="17"/>
        <v>67</v>
      </c>
      <c r="AK39" s="64">
        <f t="shared" si="17"/>
        <v>0</v>
      </c>
      <c r="AL39" s="64">
        <f t="shared" si="17"/>
        <v>41</v>
      </c>
      <c r="AM39" s="64">
        <f t="shared" si="17"/>
        <v>0</v>
      </c>
      <c r="AN39" s="64">
        <f t="shared" si="17"/>
        <v>10</v>
      </c>
    </row>
    <row r="40">
      <c r="A40" s="46">
        <v>46027.0</v>
      </c>
      <c r="B40" s="47" t="s">
        <v>42</v>
      </c>
      <c r="C40" s="49">
        <v>2.0</v>
      </c>
      <c r="D40" s="48"/>
      <c r="E40" s="48"/>
      <c r="F40" s="49">
        <f t="shared" ref="F40:F46" si="18">SUM(C40:E40)</f>
        <v>2</v>
      </c>
      <c r="G40" s="48"/>
      <c r="H40" s="49">
        <v>1.0</v>
      </c>
      <c r="I40" s="48"/>
      <c r="J40" s="48"/>
      <c r="K40" s="48"/>
      <c r="L40" s="48"/>
      <c r="M40" s="48"/>
      <c r="N40" s="48"/>
      <c r="O40" s="48"/>
      <c r="P40" s="49">
        <v>1.0</v>
      </c>
      <c r="Q40" s="48"/>
      <c r="R40" s="48"/>
      <c r="S40" s="48"/>
      <c r="T40" s="48"/>
      <c r="U40" s="40">
        <f t="shared" ref="U40:U47" si="19">sum(G40:T40)</f>
        <v>2</v>
      </c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</row>
    <row r="41">
      <c r="A41" s="50"/>
      <c r="B41" s="47" t="s">
        <v>85</v>
      </c>
      <c r="C41" s="49">
        <v>2.0</v>
      </c>
      <c r="D41" s="49">
        <v>1.0</v>
      </c>
      <c r="E41" s="48"/>
      <c r="F41" s="49">
        <f t="shared" si="18"/>
        <v>3</v>
      </c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9">
        <v>3.0</v>
      </c>
      <c r="U41" s="40">
        <f t="shared" si="19"/>
        <v>3</v>
      </c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</row>
    <row r="42">
      <c r="A42" s="50"/>
      <c r="B42" s="47" t="s">
        <v>36</v>
      </c>
      <c r="C42" s="48"/>
      <c r="D42" s="48"/>
      <c r="E42" s="48"/>
      <c r="F42" s="49">
        <f t="shared" si="18"/>
        <v>0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0">
        <f t="shared" si="19"/>
        <v>0</v>
      </c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</row>
    <row r="43">
      <c r="A43" s="50"/>
      <c r="B43" s="47" t="s">
        <v>29</v>
      </c>
      <c r="C43" s="49">
        <v>8.0</v>
      </c>
      <c r="D43" s="49">
        <v>4.0</v>
      </c>
      <c r="E43" s="48"/>
      <c r="F43" s="49">
        <f t="shared" si="18"/>
        <v>12</v>
      </c>
      <c r="G43" s="48"/>
      <c r="H43" s="48"/>
      <c r="I43" s="35"/>
      <c r="J43" s="48"/>
      <c r="K43" s="48"/>
      <c r="L43" s="48"/>
      <c r="M43" s="48"/>
      <c r="N43" s="48"/>
      <c r="O43" s="48"/>
      <c r="P43" s="65">
        <v>12.0</v>
      </c>
      <c r="Q43" s="48"/>
      <c r="R43" s="48"/>
      <c r="S43" s="48"/>
      <c r="T43" s="49">
        <v>1.0</v>
      </c>
      <c r="U43" s="40">
        <f t="shared" si="19"/>
        <v>13</v>
      </c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</row>
    <row r="44">
      <c r="A44" s="50"/>
      <c r="B44" s="47" t="s">
        <v>86</v>
      </c>
      <c r="C44" s="49">
        <v>10.0</v>
      </c>
      <c r="D44" s="49">
        <v>2.0</v>
      </c>
      <c r="E44" s="48"/>
      <c r="F44" s="49">
        <f t="shared" si="18"/>
        <v>12</v>
      </c>
      <c r="G44" s="48"/>
      <c r="H44" s="48"/>
      <c r="I44" s="48"/>
      <c r="J44" s="48"/>
      <c r="K44" s="48"/>
      <c r="L44" s="48"/>
      <c r="M44" s="48"/>
      <c r="N44" s="48"/>
      <c r="O44" s="48"/>
      <c r="P44" s="49">
        <v>9.0</v>
      </c>
      <c r="Q44" s="48"/>
      <c r="R44" s="48"/>
      <c r="S44" s="48"/>
      <c r="T44" s="49">
        <v>3.0</v>
      </c>
      <c r="U44" s="51">
        <f t="shared" si="19"/>
        <v>12</v>
      </c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</row>
    <row r="45">
      <c r="A45" s="50"/>
      <c r="B45" s="52" t="s">
        <v>87</v>
      </c>
      <c r="C45" s="54">
        <v>2.0</v>
      </c>
      <c r="D45" s="53"/>
      <c r="E45" s="53"/>
      <c r="F45" s="54">
        <f t="shared" si="18"/>
        <v>2</v>
      </c>
      <c r="G45" s="53"/>
      <c r="H45" s="53"/>
      <c r="I45" s="53"/>
      <c r="J45" s="53"/>
      <c r="K45" s="53"/>
      <c r="L45" s="54">
        <v>1.0</v>
      </c>
      <c r="M45" s="53"/>
      <c r="N45" s="53"/>
      <c r="O45" s="53"/>
      <c r="P45" s="53"/>
      <c r="Q45" s="53"/>
      <c r="R45" s="53"/>
      <c r="S45" s="53"/>
      <c r="T45" s="54">
        <v>1.0</v>
      </c>
      <c r="U45" s="40">
        <f t="shared" si="19"/>
        <v>2</v>
      </c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</row>
    <row r="46">
      <c r="A46" s="50"/>
      <c r="B46" s="52" t="s">
        <v>88</v>
      </c>
      <c r="C46" s="54">
        <v>0.0</v>
      </c>
      <c r="D46" s="54">
        <v>0.0</v>
      </c>
      <c r="E46" s="53"/>
      <c r="F46" s="54">
        <f t="shared" si="18"/>
        <v>0</v>
      </c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40">
        <f t="shared" si="19"/>
        <v>0</v>
      </c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</row>
    <row r="47">
      <c r="A47" s="50"/>
      <c r="B47" s="55" t="s">
        <v>89</v>
      </c>
      <c r="C47" s="55">
        <f t="shared" ref="C47:T47" si="20">SUM(C40:C46)</f>
        <v>24</v>
      </c>
      <c r="D47" s="55">
        <f t="shared" si="20"/>
        <v>7</v>
      </c>
      <c r="E47" s="55">
        <f t="shared" si="20"/>
        <v>0</v>
      </c>
      <c r="F47" s="55">
        <f t="shared" si="20"/>
        <v>31</v>
      </c>
      <c r="G47" s="55">
        <f t="shared" si="20"/>
        <v>0</v>
      </c>
      <c r="H47" s="55">
        <f t="shared" si="20"/>
        <v>1</v>
      </c>
      <c r="I47" s="55">
        <f t="shared" si="20"/>
        <v>0</v>
      </c>
      <c r="J47" s="55">
        <f t="shared" si="20"/>
        <v>0</v>
      </c>
      <c r="K47" s="55">
        <f t="shared" si="20"/>
        <v>0</v>
      </c>
      <c r="L47" s="55">
        <f t="shared" si="20"/>
        <v>1</v>
      </c>
      <c r="M47" s="55">
        <f t="shared" si="20"/>
        <v>0</v>
      </c>
      <c r="N47" s="55">
        <f t="shared" si="20"/>
        <v>0</v>
      </c>
      <c r="O47" s="55">
        <f t="shared" si="20"/>
        <v>0</v>
      </c>
      <c r="P47" s="55">
        <f t="shared" si="20"/>
        <v>22</v>
      </c>
      <c r="Q47" s="55">
        <f t="shared" si="20"/>
        <v>0</v>
      </c>
      <c r="R47" s="55">
        <f t="shared" si="20"/>
        <v>0</v>
      </c>
      <c r="S47" s="55">
        <f t="shared" si="20"/>
        <v>0</v>
      </c>
      <c r="T47" s="55">
        <f t="shared" si="20"/>
        <v>8</v>
      </c>
      <c r="U47" s="40">
        <f t="shared" si="19"/>
        <v>32</v>
      </c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</row>
    <row r="48">
      <c r="A48" s="56"/>
      <c r="B48" s="57" t="s">
        <v>90</v>
      </c>
      <c r="C48" s="58">
        <f t="shared" ref="C48:U48" si="21">C39+C47</f>
        <v>71</v>
      </c>
      <c r="D48" s="58">
        <f t="shared" si="21"/>
        <v>27</v>
      </c>
      <c r="E48" s="58">
        <f t="shared" si="21"/>
        <v>0</v>
      </c>
      <c r="F48" s="58">
        <f t="shared" si="21"/>
        <v>98</v>
      </c>
      <c r="G48" s="58">
        <f t="shared" si="21"/>
        <v>1</v>
      </c>
      <c r="H48" s="58">
        <f t="shared" si="21"/>
        <v>1</v>
      </c>
      <c r="I48" s="58">
        <f t="shared" si="21"/>
        <v>0</v>
      </c>
      <c r="J48" s="58">
        <f t="shared" si="21"/>
        <v>1</v>
      </c>
      <c r="K48" s="58">
        <f t="shared" si="21"/>
        <v>0</v>
      </c>
      <c r="L48" s="58">
        <f t="shared" si="21"/>
        <v>1</v>
      </c>
      <c r="M48" s="58">
        <f t="shared" si="21"/>
        <v>0</v>
      </c>
      <c r="N48" s="58">
        <f t="shared" si="21"/>
        <v>0</v>
      </c>
      <c r="O48" s="58">
        <f t="shared" si="21"/>
        <v>3</v>
      </c>
      <c r="P48" s="58">
        <f t="shared" si="21"/>
        <v>55</v>
      </c>
      <c r="Q48" s="58">
        <f t="shared" si="21"/>
        <v>0</v>
      </c>
      <c r="R48" s="58">
        <f t="shared" si="21"/>
        <v>25</v>
      </c>
      <c r="S48" s="58">
        <f t="shared" si="21"/>
        <v>0</v>
      </c>
      <c r="T48" s="58">
        <f t="shared" si="21"/>
        <v>16</v>
      </c>
      <c r="U48" s="40">
        <f t="shared" si="21"/>
        <v>103</v>
      </c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</row>
    <row r="49">
      <c r="A49" s="46">
        <v>46028.0</v>
      </c>
      <c r="B49" s="47" t="s">
        <v>42</v>
      </c>
      <c r="C49" s="49">
        <v>1.0</v>
      </c>
      <c r="D49" s="49">
        <v>2.0</v>
      </c>
      <c r="E49" s="48"/>
      <c r="F49" s="49">
        <f t="shared" ref="F49:F55" si="22">SUM(C49:E49)</f>
        <v>3</v>
      </c>
      <c r="G49" s="48"/>
      <c r="H49" s="48"/>
      <c r="I49" s="48"/>
      <c r="J49" s="48"/>
      <c r="K49" s="48"/>
      <c r="L49" s="48"/>
      <c r="M49" s="48"/>
      <c r="N49" s="48"/>
      <c r="O49" s="48"/>
      <c r="P49" s="49">
        <v>1.0</v>
      </c>
      <c r="Q49" s="48"/>
      <c r="R49" s="48"/>
      <c r="S49" s="48"/>
      <c r="T49" s="49">
        <v>2.0</v>
      </c>
      <c r="U49" s="40">
        <f t="shared" ref="U49:U56" si="23">sum(G49:T49)</f>
        <v>3</v>
      </c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</row>
    <row r="50">
      <c r="A50" s="50"/>
      <c r="B50" s="47" t="s">
        <v>85</v>
      </c>
      <c r="C50" s="65">
        <v>13.0</v>
      </c>
      <c r="D50" s="48"/>
      <c r="E50" s="48"/>
      <c r="F50" s="49">
        <f t="shared" si="22"/>
        <v>13</v>
      </c>
      <c r="G50" s="48"/>
      <c r="H50" s="48"/>
      <c r="I50" s="48"/>
      <c r="J50" s="48"/>
      <c r="K50" s="48"/>
      <c r="L50" s="48"/>
      <c r="M50" s="48"/>
      <c r="N50" s="48"/>
      <c r="O50" s="48"/>
      <c r="P50" s="49">
        <v>12.0</v>
      </c>
      <c r="Q50" s="48"/>
      <c r="R50" s="48"/>
      <c r="S50" s="48"/>
      <c r="T50" s="49">
        <v>1.0</v>
      </c>
      <c r="U50" s="40">
        <f t="shared" si="23"/>
        <v>13</v>
      </c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</row>
    <row r="51">
      <c r="A51" s="50"/>
      <c r="B51" s="47" t="s">
        <v>36</v>
      </c>
      <c r="C51" s="48"/>
      <c r="D51" s="48"/>
      <c r="E51" s="48"/>
      <c r="F51" s="49">
        <f t="shared" si="22"/>
        <v>0</v>
      </c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0">
        <f t="shared" si="23"/>
        <v>0</v>
      </c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</row>
    <row r="52">
      <c r="A52" s="50"/>
      <c r="B52" s="47" t="s">
        <v>29</v>
      </c>
      <c r="C52" s="49">
        <v>2.0</v>
      </c>
      <c r="D52" s="48"/>
      <c r="E52" s="48"/>
      <c r="F52" s="49">
        <f t="shared" si="22"/>
        <v>2</v>
      </c>
      <c r="G52" s="48"/>
      <c r="H52" s="48"/>
      <c r="I52" s="48"/>
      <c r="J52" s="48"/>
      <c r="K52" s="48"/>
      <c r="L52" s="48"/>
      <c r="M52" s="48"/>
      <c r="N52" s="48"/>
      <c r="O52" s="48"/>
      <c r="P52" s="49">
        <v>2.0</v>
      </c>
      <c r="Q52" s="48"/>
      <c r="R52" s="48"/>
      <c r="S52" s="48"/>
      <c r="T52" s="49">
        <v>1.0</v>
      </c>
      <c r="U52" s="40">
        <f t="shared" si="23"/>
        <v>3</v>
      </c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</row>
    <row r="53">
      <c r="A53" s="50"/>
      <c r="B53" s="47" t="s">
        <v>86</v>
      </c>
      <c r="C53" s="48"/>
      <c r="D53" s="49">
        <v>2.0</v>
      </c>
      <c r="E53" s="48"/>
      <c r="F53" s="49">
        <f t="shared" si="22"/>
        <v>2</v>
      </c>
      <c r="G53" s="48"/>
      <c r="H53" s="48"/>
      <c r="I53" s="48"/>
      <c r="J53" s="48"/>
      <c r="K53" s="48"/>
      <c r="L53" s="48"/>
      <c r="M53" s="48"/>
      <c r="N53" s="48"/>
      <c r="O53" s="48"/>
      <c r="P53" s="49">
        <v>1.0</v>
      </c>
      <c r="Q53" s="48"/>
      <c r="R53" s="48"/>
      <c r="S53" s="48"/>
      <c r="T53" s="49">
        <v>1.0</v>
      </c>
      <c r="U53" s="51">
        <f t="shared" si="23"/>
        <v>2</v>
      </c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</row>
    <row r="54">
      <c r="A54" s="50"/>
      <c r="B54" s="52" t="s">
        <v>87</v>
      </c>
      <c r="C54" s="54">
        <v>3.0</v>
      </c>
      <c r="D54" s="54">
        <v>3.0</v>
      </c>
      <c r="E54" s="53"/>
      <c r="F54" s="54">
        <f t="shared" si="22"/>
        <v>6</v>
      </c>
      <c r="G54" s="53"/>
      <c r="H54" s="53"/>
      <c r="I54" s="53"/>
      <c r="J54" s="53"/>
      <c r="K54" s="53"/>
      <c r="L54" s="54">
        <v>1.0</v>
      </c>
      <c r="M54" s="53"/>
      <c r="N54" s="53"/>
      <c r="O54" s="53"/>
      <c r="P54" s="54">
        <v>2.0</v>
      </c>
      <c r="Q54" s="53"/>
      <c r="R54" s="53"/>
      <c r="S54" s="53"/>
      <c r="T54" s="54">
        <v>6.0</v>
      </c>
      <c r="U54" s="40">
        <f t="shared" si="23"/>
        <v>9</v>
      </c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</row>
    <row r="55">
      <c r="A55" s="50"/>
      <c r="B55" s="52" t="s">
        <v>88</v>
      </c>
      <c r="C55" s="54">
        <v>0.0</v>
      </c>
      <c r="D55" s="54">
        <v>0.0</v>
      </c>
      <c r="E55" s="53"/>
      <c r="F55" s="54">
        <f t="shared" si="22"/>
        <v>0</v>
      </c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40">
        <f t="shared" si="23"/>
        <v>0</v>
      </c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</row>
    <row r="56">
      <c r="A56" s="50"/>
      <c r="B56" s="55" t="s">
        <v>89</v>
      </c>
      <c r="C56" s="55">
        <f t="shared" ref="C56:T56" si="24">SUM(C49:C55)</f>
        <v>19</v>
      </c>
      <c r="D56" s="55">
        <f t="shared" si="24"/>
        <v>7</v>
      </c>
      <c r="E56" s="55">
        <f t="shared" si="24"/>
        <v>0</v>
      </c>
      <c r="F56" s="55">
        <f t="shared" si="24"/>
        <v>26</v>
      </c>
      <c r="G56" s="55">
        <f t="shared" si="24"/>
        <v>0</v>
      </c>
      <c r="H56" s="55">
        <f t="shared" si="24"/>
        <v>0</v>
      </c>
      <c r="I56" s="55">
        <f t="shared" si="24"/>
        <v>0</v>
      </c>
      <c r="J56" s="55">
        <f t="shared" si="24"/>
        <v>0</v>
      </c>
      <c r="K56" s="55">
        <f t="shared" si="24"/>
        <v>0</v>
      </c>
      <c r="L56" s="55">
        <f t="shared" si="24"/>
        <v>1</v>
      </c>
      <c r="M56" s="55">
        <f t="shared" si="24"/>
        <v>0</v>
      </c>
      <c r="N56" s="55">
        <f t="shared" si="24"/>
        <v>0</v>
      </c>
      <c r="O56" s="55">
        <f t="shared" si="24"/>
        <v>0</v>
      </c>
      <c r="P56" s="55">
        <f t="shared" si="24"/>
        <v>18</v>
      </c>
      <c r="Q56" s="55">
        <f t="shared" si="24"/>
        <v>0</v>
      </c>
      <c r="R56" s="55">
        <f t="shared" si="24"/>
        <v>0</v>
      </c>
      <c r="S56" s="55">
        <f t="shared" si="24"/>
        <v>0</v>
      </c>
      <c r="T56" s="55">
        <f t="shared" si="24"/>
        <v>11</v>
      </c>
      <c r="U56" s="40">
        <f t="shared" si="23"/>
        <v>30</v>
      </c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</row>
    <row r="57">
      <c r="A57" s="56"/>
      <c r="B57" s="57" t="s">
        <v>90</v>
      </c>
      <c r="C57" s="58">
        <f t="shared" ref="C57:U57" si="25">C48+C56</f>
        <v>90</v>
      </c>
      <c r="D57" s="58">
        <f t="shared" si="25"/>
        <v>34</v>
      </c>
      <c r="E57" s="58">
        <f t="shared" si="25"/>
        <v>0</v>
      </c>
      <c r="F57" s="58">
        <f t="shared" si="25"/>
        <v>124</v>
      </c>
      <c r="G57" s="58">
        <f t="shared" si="25"/>
        <v>1</v>
      </c>
      <c r="H57" s="58">
        <f t="shared" si="25"/>
        <v>1</v>
      </c>
      <c r="I57" s="58">
        <f t="shared" si="25"/>
        <v>0</v>
      </c>
      <c r="J57" s="58">
        <f t="shared" si="25"/>
        <v>1</v>
      </c>
      <c r="K57" s="58">
        <f t="shared" si="25"/>
        <v>0</v>
      </c>
      <c r="L57" s="58">
        <f t="shared" si="25"/>
        <v>2</v>
      </c>
      <c r="M57" s="58">
        <f t="shared" si="25"/>
        <v>0</v>
      </c>
      <c r="N57" s="58">
        <f t="shared" si="25"/>
        <v>0</v>
      </c>
      <c r="O57" s="58">
        <f t="shared" si="25"/>
        <v>3</v>
      </c>
      <c r="P57" s="58">
        <f t="shared" si="25"/>
        <v>73</v>
      </c>
      <c r="Q57" s="58">
        <f t="shared" si="25"/>
        <v>0</v>
      </c>
      <c r="R57" s="58">
        <f t="shared" si="25"/>
        <v>25</v>
      </c>
      <c r="S57" s="58">
        <f t="shared" si="25"/>
        <v>0</v>
      </c>
      <c r="T57" s="58">
        <f t="shared" si="25"/>
        <v>27</v>
      </c>
      <c r="U57" s="40">
        <f t="shared" si="25"/>
        <v>133</v>
      </c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</row>
    <row r="58">
      <c r="A58" s="46">
        <v>46029.0</v>
      </c>
      <c r="B58" s="47" t="s">
        <v>42</v>
      </c>
      <c r="C58" s="49">
        <v>2.0</v>
      </c>
      <c r="D58" s="49">
        <v>2.0</v>
      </c>
      <c r="E58" s="48"/>
      <c r="F58" s="49">
        <f t="shared" ref="F58:F64" si="26">SUM(C58:E58)</f>
        <v>4</v>
      </c>
      <c r="G58" s="49">
        <v>1.0</v>
      </c>
      <c r="H58" s="48"/>
      <c r="I58" s="48"/>
      <c r="J58" s="48"/>
      <c r="K58" s="48"/>
      <c r="L58" s="48"/>
      <c r="M58" s="48"/>
      <c r="N58" s="48"/>
      <c r="O58" s="48"/>
      <c r="P58" s="49">
        <v>2.0</v>
      </c>
      <c r="Q58" s="48"/>
      <c r="R58" s="48"/>
      <c r="S58" s="48"/>
      <c r="T58" s="49">
        <v>1.0</v>
      </c>
      <c r="U58" s="40">
        <f t="shared" ref="U58:U65" si="27">sum(G58:T58)</f>
        <v>4</v>
      </c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</row>
    <row r="59">
      <c r="A59" s="50"/>
      <c r="B59" s="47" t="s">
        <v>85</v>
      </c>
      <c r="C59" s="49">
        <v>13.0</v>
      </c>
      <c r="D59" s="48"/>
      <c r="E59" s="48"/>
      <c r="F59" s="49">
        <f t="shared" si="26"/>
        <v>13</v>
      </c>
      <c r="G59" s="48"/>
      <c r="H59" s="48"/>
      <c r="I59" s="48"/>
      <c r="J59" s="48"/>
      <c r="K59" s="48"/>
      <c r="L59" s="48"/>
      <c r="M59" s="48"/>
      <c r="N59" s="48"/>
      <c r="O59" s="48"/>
      <c r="P59" s="49">
        <v>13.0</v>
      </c>
      <c r="Q59" s="48"/>
      <c r="R59" s="48"/>
      <c r="S59" s="48"/>
      <c r="T59" s="49">
        <v>1.0</v>
      </c>
      <c r="U59" s="40">
        <f t="shared" si="27"/>
        <v>14</v>
      </c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</row>
    <row r="60">
      <c r="A60" s="50"/>
      <c r="B60" s="47" t="s">
        <v>36</v>
      </c>
      <c r="C60" s="49">
        <v>3.0</v>
      </c>
      <c r="D60" s="48"/>
      <c r="E60" s="48"/>
      <c r="F60" s="49">
        <f t="shared" si="26"/>
        <v>3</v>
      </c>
      <c r="G60" s="48"/>
      <c r="H60" s="49">
        <v>1.0</v>
      </c>
      <c r="I60" s="48"/>
      <c r="J60" s="48"/>
      <c r="K60" s="48"/>
      <c r="L60" s="49">
        <v>1.0</v>
      </c>
      <c r="M60" s="48"/>
      <c r="N60" s="48"/>
      <c r="O60" s="48"/>
      <c r="P60" s="48"/>
      <c r="Q60" s="48"/>
      <c r="R60" s="48"/>
      <c r="S60" s="48"/>
      <c r="T60" s="49">
        <v>1.0</v>
      </c>
      <c r="U60" s="40">
        <f t="shared" si="27"/>
        <v>3</v>
      </c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</row>
    <row r="61">
      <c r="A61" s="50"/>
      <c r="B61" s="47" t="s">
        <v>29</v>
      </c>
      <c r="C61" s="48"/>
      <c r="D61" s="48"/>
      <c r="E61" s="48"/>
      <c r="F61" s="49">
        <f t="shared" si="26"/>
        <v>0</v>
      </c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0">
        <f t="shared" si="27"/>
        <v>0</v>
      </c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</row>
    <row r="62">
      <c r="A62" s="50"/>
      <c r="B62" s="47" t="s">
        <v>86</v>
      </c>
      <c r="C62" s="48"/>
      <c r="D62" s="49">
        <v>2.0</v>
      </c>
      <c r="E62" s="48"/>
      <c r="F62" s="49">
        <f t="shared" si="26"/>
        <v>2</v>
      </c>
      <c r="G62" s="48"/>
      <c r="H62" s="48"/>
      <c r="I62" s="48"/>
      <c r="J62" s="48"/>
      <c r="K62" s="48"/>
      <c r="L62" s="48"/>
      <c r="M62" s="48"/>
      <c r="N62" s="48"/>
      <c r="O62" s="48"/>
      <c r="P62" s="49">
        <v>1.0</v>
      </c>
      <c r="Q62" s="48"/>
      <c r="R62" s="48"/>
      <c r="S62" s="48"/>
      <c r="T62" s="49">
        <v>1.0</v>
      </c>
      <c r="U62" s="51">
        <f t="shared" si="27"/>
        <v>2</v>
      </c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</row>
    <row r="63">
      <c r="A63" s="50"/>
      <c r="B63" s="52" t="s">
        <v>87</v>
      </c>
      <c r="C63" s="54">
        <v>1.0</v>
      </c>
      <c r="D63" s="54">
        <v>3.0</v>
      </c>
      <c r="E63" s="53"/>
      <c r="F63" s="54">
        <f t="shared" si="26"/>
        <v>4</v>
      </c>
      <c r="G63" s="54">
        <v>2.0</v>
      </c>
      <c r="H63" s="53"/>
      <c r="I63" s="53"/>
      <c r="J63" s="53"/>
      <c r="K63" s="53"/>
      <c r="L63" s="53"/>
      <c r="M63" s="53"/>
      <c r="N63" s="54">
        <v>2.0</v>
      </c>
      <c r="O63" s="53"/>
      <c r="P63" s="54">
        <v>1.0</v>
      </c>
      <c r="Q63" s="53"/>
      <c r="R63" s="53"/>
      <c r="S63" s="53"/>
      <c r="T63" s="54">
        <v>3.0</v>
      </c>
      <c r="U63" s="40">
        <f t="shared" si="27"/>
        <v>8</v>
      </c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</row>
    <row r="64">
      <c r="A64" s="50"/>
      <c r="B64" s="52" t="s">
        <v>88</v>
      </c>
      <c r="C64" s="54">
        <v>0.0</v>
      </c>
      <c r="D64" s="54">
        <v>1.0</v>
      </c>
      <c r="E64" s="53"/>
      <c r="F64" s="54">
        <f t="shared" si="26"/>
        <v>1</v>
      </c>
      <c r="G64" s="53"/>
      <c r="H64" s="53"/>
      <c r="I64" s="53"/>
      <c r="J64" s="53"/>
      <c r="K64" s="53"/>
      <c r="L64" s="53"/>
      <c r="M64" s="53"/>
      <c r="N64" s="53"/>
      <c r="O64" s="54">
        <v>1.0</v>
      </c>
      <c r="P64" s="53"/>
      <c r="Q64" s="53"/>
      <c r="R64" s="53"/>
      <c r="S64" s="53"/>
      <c r="T64" s="53"/>
      <c r="U64" s="40">
        <f t="shared" si="27"/>
        <v>1</v>
      </c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</row>
    <row r="65">
      <c r="A65" s="50"/>
      <c r="B65" s="55" t="s">
        <v>89</v>
      </c>
      <c r="C65" s="55">
        <f t="shared" ref="C65:I65" si="28">SUM(C58:C64)</f>
        <v>19</v>
      </c>
      <c r="D65" s="55">
        <f t="shared" si="28"/>
        <v>8</v>
      </c>
      <c r="E65" s="55">
        <f t="shared" si="28"/>
        <v>0</v>
      </c>
      <c r="F65" s="55">
        <f t="shared" si="28"/>
        <v>27</v>
      </c>
      <c r="G65" s="55">
        <f t="shared" si="28"/>
        <v>3</v>
      </c>
      <c r="H65" s="55">
        <f t="shared" si="28"/>
        <v>1</v>
      </c>
      <c r="I65" s="55">
        <f t="shared" si="28"/>
        <v>0</v>
      </c>
      <c r="J65" s="55">
        <v>0.0</v>
      </c>
      <c r="K65" s="55">
        <f t="shared" ref="K65:T65" si="29">SUM(K58:K64)</f>
        <v>0</v>
      </c>
      <c r="L65" s="55">
        <f t="shared" si="29"/>
        <v>1</v>
      </c>
      <c r="M65" s="55">
        <f t="shared" si="29"/>
        <v>0</v>
      </c>
      <c r="N65" s="55">
        <f t="shared" si="29"/>
        <v>2</v>
      </c>
      <c r="O65" s="55">
        <f t="shared" si="29"/>
        <v>1</v>
      </c>
      <c r="P65" s="55">
        <f t="shared" si="29"/>
        <v>17</v>
      </c>
      <c r="Q65" s="55">
        <f t="shared" si="29"/>
        <v>0</v>
      </c>
      <c r="R65" s="55">
        <f t="shared" si="29"/>
        <v>0</v>
      </c>
      <c r="S65" s="55">
        <f t="shared" si="29"/>
        <v>0</v>
      </c>
      <c r="T65" s="55">
        <f t="shared" si="29"/>
        <v>7</v>
      </c>
      <c r="U65" s="40">
        <f t="shared" si="27"/>
        <v>32</v>
      </c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</row>
    <row r="66">
      <c r="A66" s="56"/>
      <c r="B66" s="57" t="s">
        <v>90</v>
      </c>
      <c r="C66" s="58">
        <f t="shared" ref="C66:E66" si="30">SUM(C57,C65)</f>
        <v>109</v>
      </c>
      <c r="D66" s="58">
        <f t="shared" si="30"/>
        <v>42</v>
      </c>
      <c r="E66" s="58">
        <f t="shared" si="30"/>
        <v>0</v>
      </c>
      <c r="F66" s="58">
        <f t="shared" ref="F66:U66" si="31">F57+F65</f>
        <v>151</v>
      </c>
      <c r="G66" s="58">
        <f t="shared" si="31"/>
        <v>4</v>
      </c>
      <c r="H66" s="58">
        <f t="shared" si="31"/>
        <v>2</v>
      </c>
      <c r="I66" s="58">
        <f t="shared" si="31"/>
        <v>0</v>
      </c>
      <c r="J66" s="58">
        <f t="shared" si="31"/>
        <v>1</v>
      </c>
      <c r="K66" s="58">
        <f t="shared" si="31"/>
        <v>0</v>
      </c>
      <c r="L66" s="58">
        <f t="shared" si="31"/>
        <v>3</v>
      </c>
      <c r="M66" s="58">
        <f t="shared" si="31"/>
        <v>0</v>
      </c>
      <c r="N66" s="58">
        <f t="shared" si="31"/>
        <v>2</v>
      </c>
      <c r="O66" s="58">
        <f t="shared" si="31"/>
        <v>4</v>
      </c>
      <c r="P66" s="58">
        <f t="shared" si="31"/>
        <v>90</v>
      </c>
      <c r="Q66" s="58">
        <f t="shared" si="31"/>
        <v>0</v>
      </c>
      <c r="R66" s="58">
        <f t="shared" si="31"/>
        <v>25</v>
      </c>
      <c r="S66" s="58">
        <f t="shared" si="31"/>
        <v>0</v>
      </c>
      <c r="T66" s="58">
        <f t="shared" si="31"/>
        <v>34</v>
      </c>
      <c r="U66" s="40">
        <f t="shared" si="31"/>
        <v>165</v>
      </c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</row>
    <row r="67">
      <c r="A67" s="46">
        <v>46030.0</v>
      </c>
      <c r="B67" s="47" t="s">
        <v>42</v>
      </c>
      <c r="C67" s="49">
        <v>2.0</v>
      </c>
      <c r="D67" s="49">
        <v>1.0</v>
      </c>
      <c r="E67" s="48"/>
      <c r="F67" s="49">
        <f t="shared" ref="F67:F73" si="32">SUM(C67:E67)</f>
        <v>3</v>
      </c>
      <c r="G67" s="48"/>
      <c r="H67" s="48"/>
      <c r="I67" s="48"/>
      <c r="J67" s="48"/>
      <c r="K67" s="48"/>
      <c r="L67" s="48"/>
      <c r="M67" s="48"/>
      <c r="N67" s="48"/>
      <c r="O67" s="48"/>
      <c r="P67" s="49">
        <v>1.0</v>
      </c>
      <c r="Q67" s="48"/>
      <c r="R67" s="48"/>
      <c r="S67" s="48"/>
      <c r="T67" s="49">
        <v>2.0</v>
      </c>
      <c r="U67" s="40">
        <f t="shared" ref="U67:U74" si="33">sum(G67:T67)</f>
        <v>3</v>
      </c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</row>
    <row r="68">
      <c r="A68" s="50"/>
      <c r="B68" s="47" t="s">
        <v>85</v>
      </c>
      <c r="C68" s="48"/>
      <c r="D68" s="48"/>
      <c r="E68" s="48"/>
      <c r="F68" s="49">
        <f t="shared" si="32"/>
        <v>0</v>
      </c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0">
        <f t="shared" si="33"/>
        <v>0</v>
      </c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</row>
    <row r="69">
      <c r="A69" s="50"/>
      <c r="B69" s="47" t="s">
        <v>36</v>
      </c>
      <c r="C69" s="49">
        <v>2.0</v>
      </c>
      <c r="D69" s="48"/>
      <c r="E69" s="48"/>
      <c r="F69" s="49">
        <f t="shared" si="32"/>
        <v>2</v>
      </c>
      <c r="G69" s="48"/>
      <c r="H69" s="48"/>
      <c r="I69" s="49">
        <v>1.0</v>
      </c>
      <c r="J69" s="48"/>
      <c r="K69" s="48"/>
      <c r="L69" s="48"/>
      <c r="M69" s="48"/>
      <c r="N69" s="48"/>
      <c r="O69" s="48"/>
      <c r="P69" s="49">
        <v>1.0</v>
      </c>
      <c r="Q69" s="48"/>
      <c r="R69" s="48"/>
      <c r="S69" s="48"/>
      <c r="T69" s="48"/>
      <c r="U69" s="40">
        <f t="shared" si="33"/>
        <v>2</v>
      </c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</row>
    <row r="70">
      <c r="A70" s="50"/>
      <c r="B70" s="47" t="s">
        <v>29</v>
      </c>
      <c r="C70" s="49">
        <v>30.0</v>
      </c>
      <c r="D70" s="49">
        <v>9.0</v>
      </c>
      <c r="E70" s="48"/>
      <c r="F70" s="49">
        <f t="shared" si="32"/>
        <v>39</v>
      </c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9">
        <v>39.0</v>
      </c>
      <c r="S70" s="48"/>
      <c r="T70" s="48"/>
      <c r="U70" s="40">
        <f t="shared" si="33"/>
        <v>39</v>
      </c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</row>
    <row r="71">
      <c r="A71" s="50"/>
      <c r="B71" s="47" t="s">
        <v>86</v>
      </c>
      <c r="C71" s="49">
        <v>9.0</v>
      </c>
      <c r="D71" s="49">
        <v>5.0</v>
      </c>
      <c r="E71" s="48"/>
      <c r="F71" s="49">
        <f t="shared" si="32"/>
        <v>14</v>
      </c>
      <c r="G71" s="48"/>
      <c r="H71" s="48"/>
      <c r="I71" s="48"/>
      <c r="J71" s="48"/>
      <c r="K71" s="48"/>
      <c r="L71" s="49">
        <v>1.0</v>
      </c>
      <c r="M71" s="48"/>
      <c r="N71" s="48"/>
      <c r="O71" s="48"/>
      <c r="P71" s="49">
        <v>12.0</v>
      </c>
      <c r="Q71" s="48"/>
      <c r="R71" s="48"/>
      <c r="S71" s="48"/>
      <c r="T71" s="49">
        <v>1.0</v>
      </c>
      <c r="U71" s="51">
        <f t="shared" si="33"/>
        <v>14</v>
      </c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</row>
    <row r="72">
      <c r="A72" s="50"/>
      <c r="B72" s="52" t="s">
        <v>87</v>
      </c>
      <c r="C72" s="53"/>
      <c r="D72" s="53"/>
      <c r="E72" s="53"/>
      <c r="F72" s="54">
        <f t="shared" si="32"/>
        <v>0</v>
      </c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40">
        <f t="shared" si="33"/>
        <v>0</v>
      </c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</row>
    <row r="73">
      <c r="A73" s="50"/>
      <c r="B73" s="52" t="s">
        <v>88</v>
      </c>
      <c r="C73" s="54">
        <v>0.0</v>
      </c>
      <c r="D73" s="54">
        <v>0.0</v>
      </c>
      <c r="E73" s="53"/>
      <c r="F73" s="54">
        <f t="shared" si="32"/>
        <v>0</v>
      </c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40">
        <f t="shared" si="33"/>
        <v>0</v>
      </c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</row>
    <row r="74">
      <c r="A74" s="50"/>
      <c r="B74" s="55" t="s">
        <v>89</v>
      </c>
      <c r="C74" s="55">
        <f t="shared" ref="C74:T74" si="34">SUM(C67:C73)</f>
        <v>43</v>
      </c>
      <c r="D74" s="55">
        <f t="shared" si="34"/>
        <v>15</v>
      </c>
      <c r="E74" s="55">
        <f t="shared" si="34"/>
        <v>0</v>
      </c>
      <c r="F74" s="55">
        <f t="shared" si="34"/>
        <v>58</v>
      </c>
      <c r="G74" s="55">
        <f t="shared" si="34"/>
        <v>0</v>
      </c>
      <c r="H74" s="55">
        <f t="shared" si="34"/>
        <v>0</v>
      </c>
      <c r="I74" s="55">
        <f t="shared" si="34"/>
        <v>1</v>
      </c>
      <c r="J74" s="55">
        <f t="shared" si="34"/>
        <v>0</v>
      </c>
      <c r="K74" s="55">
        <f t="shared" si="34"/>
        <v>0</v>
      </c>
      <c r="L74" s="55">
        <f t="shared" si="34"/>
        <v>1</v>
      </c>
      <c r="M74" s="55">
        <f t="shared" si="34"/>
        <v>0</v>
      </c>
      <c r="N74" s="55">
        <f t="shared" si="34"/>
        <v>0</v>
      </c>
      <c r="O74" s="55">
        <f t="shared" si="34"/>
        <v>0</v>
      </c>
      <c r="P74" s="55">
        <f t="shared" si="34"/>
        <v>14</v>
      </c>
      <c r="Q74" s="55">
        <f t="shared" si="34"/>
        <v>0</v>
      </c>
      <c r="R74" s="55">
        <f t="shared" si="34"/>
        <v>39</v>
      </c>
      <c r="S74" s="55">
        <f t="shared" si="34"/>
        <v>0</v>
      </c>
      <c r="T74" s="55">
        <f t="shared" si="34"/>
        <v>3</v>
      </c>
      <c r="U74" s="40">
        <f t="shared" si="33"/>
        <v>58</v>
      </c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</row>
    <row r="75">
      <c r="A75" s="56"/>
      <c r="B75" s="57" t="s">
        <v>90</v>
      </c>
      <c r="C75" s="58">
        <f t="shared" ref="C75:U75" si="35">C66+C74</f>
        <v>152</v>
      </c>
      <c r="D75" s="58">
        <f t="shared" si="35"/>
        <v>57</v>
      </c>
      <c r="E75" s="58">
        <f t="shared" si="35"/>
        <v>0</v>
      </c>
      <c r="F75" s="58">
        <f t="shared" si="35"/>
        <v>209</v>
      </c>
      <c r="G75" s="58">
        <f t="shared" si="35"/>
        <v>4</v>
      </c>
      <c r="H75" s="58">
        <f t="shared" si="35"/>
        <v>2</v>
      </c>
      <c r="I75" s="58">
        <f t="shared" si="35"/>
        <v>1</v>
      </c>
      <c r="J75" s="58">
        <f t="shared" si="35"/>
        <v>1</v>
      </c>
      <c r="K75" s="58">
        <f t="shared" si="35"/>
        <v>0</v>
      </c>
      <c r="L75" s="58">
        <f t="shared" si="35"/>
        <v>4</v>
      </c>
      <c r="M75" s="58">
        <f t="shared" si="35"/>
        <v>0</v>
      </c>
      <c r="N75" s="58">
        <f t="shared" si="35"/>
        <v>2</v>
      </c>
      <c r="O75" s="58">
        <f t="shared" si="35"/>
        <v>4</v>
      </c>
      <c r="P75" s="58">
        <f t="shared" si="35"/>
        <v>104</v>
      </c>
      <c r="Q75" s="58">
        <f t="shared" si="35"/>
        <v>0</v>
      </c>
      <c r="R75" s="58">
        <f t="shared" si="35"/>
        <v>64</v>
      </c>
      <c r="S75" s="58">
        <f t="shared" si="35"/>
        <v>0</v>
      </c>
      <c r="T75" s="58">
        <f t="shared" si="35"/>
        <v>37</v>
      </c>
      <c r="U75" s="40">
        <f t="shared" si="35"/>
        <v>223</v>
      </c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</row>
    <row r="76">
      <c r="A76" s="46">
        <v>46031.0</v>
      </c>
      <c r="B76" s="47" t="s">
        <v>42</v>
      </c>
      <c r="C76" s="49">
        <v>4.0</v>
      </c>
      <c r="D76" s="48"/>
      <c r="E76" s="48"/>
      <c r="F76" s="49">
        <f t="shared" ref="F76:F82" si="36">SUM(C76:E76)</f>
        <v>4</v>
      </c>
      <c r="G76" s="48"/>
      <c r="H76" s="48"/>
      <c r="I76" s="48"/>
      <c r="J76" s="48"/>
      <c r="K76" s="48"/>
      <c r="L76" s="48"/>
      <c r="M76" s="48"/>
      <c r="N76" s="48"/>
      <c r="O76" s="48"/>
      <c r="P76" s="49">
        <v>4.0</v>
      </c>
      <c r="Q76" s="48"/>
      <c r="R76" s="48"/>
      <c r="S76" s="48"/>
      <c r="T76" s="48"/>
      <c r="U76" s="40">
        <f t="shared" ref="U76:U83" si="37">sum(G76:T76)</f>
        <v>4</v>
      </c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</row>
    <row r="77">
      <c r="A77" s="50"/>
      <c r="B77" s="47" t="s">
        <v>85</v>
      </c>
      <c r="C77" s="49">
        <v>2.0</v>
      </c>
      <c r="D77" s="48"/>
      <c r="E77" s="48"/>
      <c r="F77" s="49">
        <f t="shared" si="36"/>
        <v>2</v>
      </c>
      <c r="G77" s="49">
        <v>1.0</v>
      </c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9">
        <v>1.0</v>
      </c>
      <c r="U77" s="40">
        <f t="shared" si="37"/>
        <v>2</v>
      </c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</row>
    <row r="78">
      <c r="A78" s="50"/>
      <c r="B78" s="47" t="s">
        <v>36</v>
      </c>
      <c r="C78" s="60">
        <v>1.0</v>
      </c>
      <c r="D78" s="35"/>
      <c r="E78" s="48"/>
      <c r="F78" s="49">
        <f t="shared" si="36"/>
        <v>1</v>
      </c>
      <c r="G78" s="48"/>
      <c r="H78" s="48"/>
      <c r="I78" s="48"/>
      <c r="J78" s="48"/>
      <c r="K78" s="48"/>
      <c r="L78" s="48"/>
      <c r="M78" s="48"/>
      <c r="N78" s="48"/>
      <c r="O78" s="48"/>
      <c r="P78" s="66">
        <v>1.0</v>
      </c>
      <c r="Q78" s="59"/>
      <c r="R78" s="59"/>
      <c r="S78" s="59"/>
      <c r="T78" s="59"/>
      <c r="U78" s="40">
        <f t="shared" si="37"/>
        <v>1</v>
      </c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</row>
    <row r="79">
      <c r="A79" s="50"/>
      <c r="B79" s="47" t="s">
        <v>29</v>
      </c>
      <c r="C79" s="48"/>
      <c r="D79" s="48"/>
      <c r="E79" s="48"/>
      <c r="F79" s="49">
        <f t="shared" si="36"/>
        <v>0</v>
      </c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0">
        <f t="shared" si="37"/>
        <v>0</v>
      </c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</row>
    <row r="80">
      <c r="A80" s="50"/>
      <c r="B80" s="47" t="s">
        <v>86</v>
      </c>
      <c r="C80" s="48"/>
      <c r="D80" s="48"/>
      <c r="E80" s="48"/>
      <c r="F80" s="49">
        <f t="shared" si="36"/>
        <v>0</v>
      </c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51">
        <f t="shared" si="37"/>
        <v>0</v>
      </c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</row>
    <row r="81">
      <c r="A81" s="50"/>
      <c r="B81" s="52" t="s">
        <v>87</v>
      </c>
      <c r="C81" s="54">
        <v>10.0</v>
      </c>
      <c r="D81" s="54">
        <v>3.0</v>
      </c>
      <c r="E81" s="53"/>
      <c r="F81" s="54">
        <f t="shared" si="36"/>
        <v>13</v>
      </c>
      <c r="G81" s="53"/>
      <c r="H81" s="53"/>
      <c r="I81" s="53"/>
      <c r="J81" s="53"/>
      <c r="K81" s="53"/>
      <c r="L81" s="53"/>
      <c r="M81" s="53"/>
      <c r="N81" s="53"/>
      <c r="O81" s="53"/>
      <c r="P81" s="54">
        <v>3.0</v>
      </c>
      <c r="Q81" s="53"/>
      <c r="R81" s="54">
        <v>3.0</v>
      </c>
      <c r="S81" s="53"/>
      <c r="T81" s="54">
        <v>10.0</v>
      </c>
      <c r="U81" s="40">
        <f t="shared" si="37"/>
        <v>16</v>
      </c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</row>
    <row r="82">
      <c r="A82" s="50"/>
      <c r="B82" s="52" t="s">
        <v>88</v>
      </c>
      <c r="C82" s="54">
        <v>1.0</v>
      </c>
      <c r="D82" s="54">
        <v>0.0</v>
      </c>
      <c r="E82" s="53"/>
      <c r="F82" s="54">
        <f t="shared" si="36"/>
        <v>1</v>
      </c>
      <c r="G82" s="53"/>
      <c r="H82" s="53"/>
      <c r="I82" s="53"/>
      <c r="J82" s="53"/>
      <c r="K82" s="53"/>
      <c r="L82" s="53"/>
      <c r="M82" s="53"/>
      <c r="N82" s="53"/>
      <c r="O82" s="53"/>
      <c r="P82" s="54">
        <v>1.0</v>
      </c>
      <c r="Q82" s="53"/>
      <c r="R82" s="53"/>
      <c r="S82" s="53"/>
      <c r="T82" s="53"/>
      <c r="U82" s="40">
        <f t="shared" si="37"/>
        <v>1</v>
      </c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</row>
    <row r="83">
      <c r="A83" s="50"/>
      <c r="B83" s="55" t="s">
        <v>89</v>
      </c>
      <c r="C83" s="55">
        <f t="shared" ref="C83:T83" si="38">SUM(C76:C82)</f>
        <v>18</v>
      </c>
      <c r="D83" s="55">
        <f t="shared" si="38"/>
        <v>3</v>
      </c>
      <c r="E83" s="55">
        <f t="shared" si="38"/>
        <v>0</v>
      </c>
      <c r="F83" s="55">
        <f t="shared" si="38"/>
        <v>21</v>
      </c>
      <c r="G83" s="55">
        <f t="shared" si="38"/>
        <v>1</v>
      </c>
      <c r="H83" s="55">
        <f t="shared" si="38"/>
        <v>0</v>
      </c>
      <c r="I83" s="55">
        <f t="shared" si="38"/>
        <v>0</v>
      </c>
      <c r="J83" s="55">
        <f t="shared" si="38"/>
        <v>0</v>
      </c>
      <c r="K83" s="55">
        <f t="shared" si="38"/>
        <v>0</v>
      </c>
      <c r="L83" s="55">
        <f t="shared" si="38"/>
        <v>0</v>
      </c>
      <c r="M83" s="55">
        <f t="shared" si="38"/>
        <v>0</v>
      </c>
      <c r="N83" s="55">
        <f t="shared" si="38"/>
        <v>0</v>
      </c>
      <c r="O83" s="55">
        <f t="shared" si="38"/>
        <v>0</v>
      </c>
      <c r="P83" s="55">
        <f t="shared" si="38"/>
        <v>9</v>
      </c>
      <c r="Q83" s="55">
        <f t="shared" si="38"/>
        <v>0</v>
      </c>
      <c r="R83" s="55">
        <f t="shared" si="38"/>
        <v>3</v>
      </c>
      <c r="S83" s="55">
        <f t="shared" si="38"/>
        <v>0</v>
      </c>
      <c r="T83" s="55">
        <f t="shared" si="38"/>
        <v>11</v>
      </c>
      <c r="U83" s="40">
        <f t="shared" si="37"/>
        <v>24</v>
      </c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</row>
    <row r="84">
      <c r="A84" s="56"/>
      <c r="B84" s="57" t="s">
        <v>90</v>
      </c>
      <c r="C84" s="58">
        <f t="shared" ref="C84:U84" si="39">C75+C83</f>
        <v>170</v>
      </c>
      <c r="D84" s="58">
        <f t="shared" si="39"/>
        <v>60</v>
      </c>
      <c r="E84" s="58">
        <f t="shared" si="39"/>
        <v>0</v>
      </c>
      <c r="F84" s="58">
        <f t="shared" si="39"/>
        <v>230</v>
      </c>
      <c r="G84" s="58">
        <f t="shared" si="39"/>
        <v>5</v>
      </c>
      <c r="H84" s="58">
        <f t="shared" si="39"/>
        <v>2</v>
      </c>
      <c r="I84" s="58">
        <f t="shared" si="39"/>
        <v>1</v>
      </c>
      <c r="J84" s="58">
        <f t="shared" si="39"/>
        <v>1</v>
      </c>
      <c r="K84" s="58">
        <f t="shared" si="39"/>
        <v>0</v>
      </c>
      <c r="L84" s="58">
        <f t="shared" si="39"/>
        <v>4</v>
      </c>
      <c r="M84" s="58">
        <f t="shared" si="39"/>
        <v>0</v>
      </c>
      <c r="N84" s="58">
        <f t="shared" si="39"/>
        <v>2</v>
      </c>
      <c r="O84" s="58">
        <f t="shared" si="39"/>
        <v>4</v>
      </c>
      <c r="P84" s="58">
        <f t="shared" si="39"/>
        <v>113</v>
      </c>
      <c r="Q84" s="58">
        <f t="shared" si="39"/>
        <v>0</v>
      </c>
      <c r="R84" s="58">
        <f t="shared" si="39"/>
        <v>67</v>
      </c>
      <c r="S84" s="58">
        <f t="shared" si="39"/>
        <v>0</v>
      </c>
      <c r="T84" s="58">
        <f t="shared" si="39"/>
        <v>48</v>
      </c>
      <c r="U84" s="40">
        <f t="shared" si="39"/>
        <v>247</v>
      </c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</row>
    <row r="85">
      <c r="A85" s="46">
        <v>46032.0</v>
      </c>
      <c r="B85" s="47" t="s">
        <v>42</v>
      </c>
      <c r="C85" s="48"/>
      <c r="D85" s="48"/>
      <c r="E85" s="48"/>
      <c r="F85" s="49">
        <f t="shared" ref="F85:F91" si="40">SUM(C85:E85)</f>
        <v>0</v>
      </c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0">
        <f t="shared" ref="U85:U92" si="41">sum(G85:T85)</f>
        <v>0</v>
      </c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</row>
    <row r="86">
      <c r="A86" s="50"/>
      <c r="B86" s="47" t="s">
        <v>85</v>
      </c>
      <c r="C86" s="48"/>
      <c r="D86" s="48"/>
      <c r="E86" s="48"/>
      <c r="F86" s="49">
        <f t="shared" si="40"/>
        <v>0</v>
      </c>
      <c r="G86" s="48"/>
      <c r="H86" s="48"/>
      <c r="I86" s="48"/>
      <c r="J86" s="48"/>
      <c r="K86" s="48"/>
      <c r="L86" s="35"/>
      <c r="M86" s="48"/>
      <c r="N86" s="48"/>
      <c r="O86" s="48"/>
      <c r="P86" s="48"/>
      <c r="Q86" s="48"/>
      <c r="R86" s="48"/>
      <c r="S86" s="48"/>
      <c r="T86" s="48"/>
      <c r="U86" s="40">
        <f t="shared" si="41"/>
        <v>0</v>
      </c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</row>
    <row r="87">
      <c r="A87" s="50"/>
      <c r="B87" s="47" t="s">
        <v>36</v>
      </c>
      <c r="C87" s="48"/>
      <c r="D87" s="48"/>
      <c r="E87" s="48"/>
      <c r="F87" s="49">
        <f t="shared" si="40"/>
        <v>0</v>
      </c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0">
        <f t="shared" si="41"/>
        <v>0</v>
      </c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</row>
    <row r="88">
      <c r="A88" s="50"/>
      <c r="B88" s="47" t="s">
        <v>29</v>
      </c>
      <c r="C88" s="49">
        <v>7.0</v>
      </c>
      <c r="D88" s="49">
        <v>2.0</v>
      </c>
      <c r="E88" s="48"/>
      <c r="F88" s="49">
        <f t="shared" si="40"/>
        <v>9</v>
      </c>
      <c r="G88" s="48"/>
      <c r="H88" s="48"/>
      <c r="I88" s="48"/>
      <c r="J88" s="48"/>
      <c r="K88" s="48"/>
      <c r="L88" s="48"/>
      <c r="M88" s="48"/>
      <c r="N88" s="48"/>
      <c r="O88" s="48"/>
      <c r="P88" s="49">
        <v>9.0</v>
      </c>
      <c r="Q88" s="48"/>
      <c r="R88" s="48"/>
      <c r="S88" s="48"/>
      <c r="T88" s="48"/>
      <c r="U88" s="40">
        <f t="shared" si="41"/>
        <v>9</v>
      </c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</row>
    <row r="89">
      <c r="A89" s="50"/>
      <c r="B89" s="47" t="s">
        <v>86</v>
      </c>
      <c r="C89" s="49">
        <v>1.0</v>
      </c>
      <c r="D89" s="49">
        <v>1.0</v>
      </c>
      <c r="E89" s="48"/>
      <c r="F89" s="49">
        <f t="shared" si="40"/>
        <v>2</v>
      </c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9">
        <v>2.0</v>
      </c>
      <c r="U89" s="51">
        <f t="shared" si="41"/>
        <v>2</v>
      </c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</row>
    <row r="90">
      <c r="A90" s="50"/>
      <c r="B90" s="52" t="s">
        <v>87</v>
      </c>
      <c r="C90" s="53"/>
      <c r="D90" s="53"/>
      <c r="E90" s="53"/>
      <c r="F90" s="54">
        <f t="shared" si="40"/>
        <v>0</v>
      </c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40">
        <f t="shared" si="41"/>
        <v>0</v>
      </c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</row>
    <row r="91">
      <c r="A91" s="50"/>
      <c r="B91" s="52" t="s">
        <v>88</v>
      </c>
      <c r="C91" s="53"/>
      <c r="D91" s="53"/>
      <c r="E91" s="53"/>
      <c r="F91" s="54">
        <f t="shared" si="40"/>
        <v>0</v>
      </c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40">
        <f t="shared" si="41"/>
        <v>0</v>
      </c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</row>
    <row r="92">
      <c r="A92" s="50"/>
      <c r="B92" s="55" t="s">
        <v>89</v>
      </c>
      <c r="C92" s="55">
        <f t="shared" ref="C92:T92" si="42">SUM(C85:C91)</f>
        <v>8</v>
      </c>
      <c r="D92" s="55">
        <f t="shared" si="42"/>
        <v>3</v>
      </c>
      <c r="E92" s="55">
        <f t="shared" si="42"/>
        <v>0</v>
      </c>
      <c r="F92" s="55">
        <f t="shared" si="42"/>
        <v>11</v>
      </c>
      <c r="G92" s="55">
        <f t="shared" si="42"/>
        <v>0</v>
      </c>
      <c r="H92" s="55">
        <f t="shared" si="42"/>
        <v>0</v>
      </c>
      <c r="I92" s="55">
        <f t="shared" si="42"/>
        <v>0</v>
      </c>
      <c r="J92" s="55">
        <f t="shared" si="42"/>
        <v>0</v>
      </c>
      <c r="K92" s="55">
        <f t="shared" si="42"/>
        <v>0</v>
      </c>
      <c r="L92" s="55">
        <f t="shared" si="42"/>
        <v>0</v>
      </c>
      <c r="M92" s="55">
        <f t="shared" si="42"/>
        <v>0</v>
      </c>
      <c r="N92" s="55">
        <f t="shared" si="42"/>
        <v>0</v>
      </c>
      <c r="O92" s="55">
        <f t="shared" si="42"/>
        <v>0</v>
      </c>
      <c r="P92" s="55">
        <f t="shared" si="42"/>
        <v>9</v>
      </c>
      <c r="Q92" s="55">
        <f t="shared" si="42"/>
        <v>0</v>
      </c>
      <c r="R92" s="55">
        <f t="shared" si="42"/>
        <v>0</v>
      </c>
      <c r="S92" s="55">
        <f t="shared" si="42"/>
        <v>0</v>
      </c>
      <c r="T92" s="55">
        <f t="shared" si="42"/>
        <v>2</v>
      </c>
      <c r="U92" s="40">
        <f t="shared" si="41"/>
        <v>11</v>
      </c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</row>
    <row r="93">
      <c r="A93" s="56"/>
      <c r="B93" s="57" t="s">
        <v>90</v>
      </c>
      <c r="C93" s="58">
        <f t="shared" ref="C93:U93" si="43">C84+C92</f>
        <v>178</v>
      </c>
      <c r="D93" s="58">
        <f t="shared" si="43"/>
        <v>63</v>
      </c>
      <c r="E93" s="58">
        <f t="shared" si="43"/>
        <v>0</v>
      </c>
      <c r="F93" s="58">
        <f t="shared" si="43"/>
        <v>241</v>
      </c>
      <c r="G93" s="58">
        <f t="shared" si="43"/>
        <v>5</v>
      </c>
      <c r="H93" s="58">
        <f t="shared" si="43"/>
        <v>2</v>
      </c>
      <c r="I93" s="58">
        <f t="shared" si="43"/>
        <v>1</v>
      </c>
      <c r="J93" s="58">
        <f t="shared" si="43"/>
        <v>1</v>
      </c>
      <c r="K93" s="58">
        <f t="shared" si="43"/>
        <v>0</v>
      </c>
      <c r="L93" s="58">
        <f t="shared" si="43"/>
        <v>4</v>
      </c>
      <c r="M93" s="58">
        <f t="shared" si="43"/>
        <v>0</v>
      </c>
      <c r="N93" s="58">
        <f t="shared" si="43"/>
        <v>2</v>
      </c>
      <c r="O93" s="58">
        <f t="shared" si="43"/>
        <v>4</v>
      </c>
      <c r="P93" s="58">
        <f t="shared" si="43"/>
        <v>122</v>
      </c>
      <c r="Q93" s="58">
        <f t="shared" si="43"/>
        <v>0</v>
      </c>
      <c r="R93" s="58">
        <f t="shared" si="43"/>
        <v>67</v>
      </c>
      <c r="S93" s="58">
        <f t="shared" si="43"/>
        <v>0</v>
      </c>
      <c r="T93" s="58">
        <f t="shared" si="43"/>
        <v>50</v>
      </c>
      <c r="U93" s="40">
        <f t="shared" si="43"/>
        <v>258</v>
      </c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</row>
    <row r="94">
      <c r="A94" s="46">
        <v>46033.0</v>
      </c>
      <c r="B94" s="47" t="s">
        <v>42</v>
      </c>
      <c r="C94" s="48"/>
      <c r="D94" s="48"/>
      <c r="E94" s="48"/>
      <c r="F94" s="49">
        <f t="shared" ref="F94:F100" si="44">SUM(C94:E94)</f>
        <v>0</v>
      </c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0">
        <f t="shared" ref="U94:U101" si="45">sum(G94:T94)</f>
        <v>0</v>
      </c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</row>
    <row r="95">
      <c r="A95" s="50"/>
      <c r="B95" s="47" t="s">
        <v>85</v>
      </c>
      <c r="C95" s="48"/>
      <c r="D95" s="48"/>
      <c r="E95" s="48"/>
      <c r="F95" s="49">
        <f t="shared" si="44"/>
        <v>0</v>
      </c>
      <c r="G95" s="48"/>
      <c r="H95" s="48"/>
      <c r="I95" s="48"/>
      <c r="J95" s="48"/>
      <c r="K95" s="59"/>
      <c r="L95" s="48"/>
      <c r="M95" s="48"/>
      <c r="N95" s="48"/>
      <c r="O95" s="48"/>
      <c r="P95" s="48"/>
      <c r="Q95" s="48"/>
      <c r="R95" s="48"/>
      <c r="S95" s="48"/>
      <c r="T95" s="48"/>
      <c r="U95" s="40">
        <f t="shared" si="45"/>
        <v>0</v>
      </c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</row>
    <row r="96">
      <c r="A96" s="50"/>
      <c r="B96" s="47" t="s">
        <v>36</v>
      </c>
      <c r="C96" s="48"/>
      <c r="D96" s="48"/>
      <c r="E96" s="48"/>
      <c r="F96" s="49">
        <f t="shared" si="44"/>
        <v>0</v>
      </c>
      <c r="G96" s="48"/>
      <c r="H96" s="35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0">
        <f t="shared" si="45"/>
        <v>0</v>
      </c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</row>
    <row r="97">
      <c r="A97" s="50"/>
      <c r="B97" s="47" t="s">
        <v>29</v>
      </c>
      <c r="C97" s="48"/>
      <c r="D97" s="49">
        <v>1.0</v>
      </c>
      <c r="E97" s="48"/>
      <c r="F97" s="49">
        <f t="shared" si="44"/>
        <v>1</v>
      </c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9">
        <v>1.0</v>
      </c>
      <c r="U97" s="40">
        <f t="shared" si="45"/>
        <v>1</v>
      </c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</row>
    <row r="98">
      <c r="A98" s="50"/>
      <c r="B98" s="47" t="s">
        <v>86</v>
      </c>
      <c r="C98" s="48"/>
      <c r="D98" s="48"/>
      <c r="E98" s="48"/>
      <c r="F98" s="49">
        <f t="shared" si="44"/>
        <v>0</v>
      </c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51">
        <f t="shared" si="45"/>
        <v>0</v>
      </c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</row>
    <row r="99">
      <c r="A99" s="50"/>
      <c r="B99" s="52" t="s">
        <v>87</v>
      </c>
      <c r="C99" s="53"/>
      <c r="D99" s="53"/>
      <c r="E99" s="53"/>
      <c r="F99" s="54">
        <f t="shared" si="44"/>
        <v>0</v>
      </c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40">
        <f t="shared" si="45"/>
        <v>0</v>
      </c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</row>
    <row r="100">
      <c r="A100" s="50"/>
      <c r="B100" s="52" t="s">
        <v>88</v>
      </c>
      <c r="C100" s="53"/>
      <c r="D100" s="53"/>
      <c r="E100" s="53"/>
      <c r="F100" s="54">
        <f t="shared" si="44"/>
        <v>0</v>
      </c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40">
        <f t="shared" si="45"/>
        <v>0</v>
      </c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</row>
    <row r="101">
      <c r="A101" s="50"/>
      <c r="B101" s="55" t="s">
        <v>89</v>
      </c>
      <c r="C101" s="55">
        <f t="shared" ref="C101:T101" si="46">SUM(C94:C100)</f>
        <v>0</v>
      </c>
      <c r="D101" s="55">
        <f t="shared" si="46"/>
        <v>1</v>
      </c>
      <c r="E101" s="55">
        <f t="shared" si="46"/>
        <v>0</v>
      </c>
      <c r="F101" s="55">
        <f t="shared" si="46"/>
        <v>1</v>
      </c>
      <c r="G101" s="55">
        <f t="shared" si="46"/>
        <v>0</v>
      </c>
      <c r="H101" s="55">
        <f t="shared" si="46"/>
        <v>0</v>
      </c>
      <c r="I101" s="55">
        <f t="shared" si="46"/>
        <v>0</v>
      </c>
      <c r="J101" s="55">
        <f t="shared" si="46"/>
        <v>0</v>
      </c>
      <c r="K101" s="55">
        <f t="shared" si="46"/>
        <v>0</v>
      </c>
      <c r="L101" s="55">
        <f t="shared" si="46"/>
        <v>0</v>
      </c>
      <c r="M101" s="55">
        <f t="shared" si="46"/>
        <v>0</v>
      </c>
      <c r="N101" s="55">
        <f t="shared" si="46"/>
        <v>0</v>
      </c>
      <c r="O101" s="55">
        <f t="shared" si="46"/>
        <v>0</v>
      </c>
      <c r="P101" s="55">
        <f t="shared" si="46"/>
        <v>0</v>
      </c>
      <c r="Q101" s="55">
        <f t="shared" si="46"/>
        <v>0</v>
      </c>
      <c r="R101" s="55">
        <f t="shared" si="46"/>
        <v>0</v>
      </c>
      <c r="S101" s="55">
        <f t="shared" si="46"/>
        <v>0</v>
      </c>
      <c r="T101" s="55">
        <f t="shared" si="46"/>
        <v>1</v>
      </c>
      <c r="U101" s="40">
        <f t="shared" si="45"/>
        <v>1</v>
      </c>
      <c r="V101" s="61" t="s">
        <v>91</v>
      </c>
      <c r="W101" s="61" t="s">
        <v>75</v>
      </c>
      <c r="X101" s="61" t="s">
        <v>76</v>
      </c>
      <c r="Y101" s="61" t="s">
        <v>77</v>
      </c>
      <c r="Z101" s="61" t="s">
        <v>78</v>
      </c>
      <c r="AA101" s="61" t="s">
        <v>33</v>
      </c>
      <c r="AB101" s="61" t="s">
        <v>44</v>
      </c>
      <c r="AC101" s="61" t="s">
        <v>61</v>
      </c>
      <c r="AD101" s="61" t="s">
        <v>92</v>
      </c>
      <c r="AE101" s="61" t="s">
        <v>93</v>
      </c>
      <c r="AF101" s="61" t="s">
        <v>69</v>
      </c>
      <c r="AG101" s="61" t="s">
        <v>20</v>
      </c>
      <c r="AH101" s="61" t="s">
        <v>21</v>
      </c>
      <c r="AI101" s="62" t="s">
        <v>94</v>
      </c>
      <c r="AJ101" s="61" t="s">
        <v>23</v>
      </c>
      <c r="AK101" s="61" t="s">
        <v>55</v>
      </c>
      <c r="AL101" s="61" t="s">
        <v>82</v>
      </c>
      <c r="AM101" s="61" t="s">
        <v>24</v>
      </c>
      <c r="AN101" s="61" t="s">
        <v>95</v>
      </c>
    </row>
    <row r="102">
      <c r="A102" s="56"/>
      <c r="B102" s="57" t="s">
        <v>90</v>
      </c>
      <c r="C102" s="58">
        <f t="shared" ref="C102:U102" si="47">C93+C101</f>
        <v>178</v>
      </c>
      <c r="D102" s="58">
        <f t="shared" si="47"/>
        <v>64</v>
      </c>
      <c r="E102" s="58">
        <f t="shared" si="47"/>
        <v>0</v>
      </c>
      <c r="F102" s="58">
        <f t="shared" si="47"/>
        <v>242</v>
      </c>
      <c r="G102" s="58">
        <f t="shared" si="47"/>
        <v>5</v>
      </c>
      <c r="H102" s="58">
        <f t="shared" si="47"/>
        <v>2</v>
      </c>
      <c r="I102" s="58">
        <f t="shared" si="47"/>
        <v>1</v>
      </c>
      <c r="J102" s="58">
        <f t="shared" si="47"/>
        <v>1</v>
      </c>
      <c r="K102" s="58">
        <f t="shared" si="47"/>
        <v>0</v>
      </c>
      <c r="L102" s="58">
        <f t="shared" si="47"/>
        <v>4</v>
      </c>
      <c r="M102" s="58">
        <f t="shared" si="47"/>
        <v>0</v>
      </c>
      <c r="N102" s="58">
        <f t="shared" si="47"/>
        <v>2</v>
      </c>
      <c r="O102" s="58">
        <f t="shared" si="47"/>
        <v>4</v>
      </c>
      <c r="P102" s="58">
        <f t="shared" si="47"/>
        <v>122</v>
      </c>
      <c r="Q102" s="58">
        <f t="shared" si="47"/>
        <v>0</v>
      </c>
      <c r="R102" s="58">
        <f t="shared" si="47"/>
        <v>67</v>
      </c>
      <c r="S102" s="58">
        <f t="shared" si="47"/>
        <v>0</v>
      </c>
      <c r="T102" s="58">
        <f t="shared" si="47"/>
        <v>51</v>
      </c>
      <c r="U102" s="40">
        <f t="shared" si="47"/>
        <v>259</v>
      </c>
      <c r="V102" s="63" t="s">
        <v>97</v>
      </c>
      <c r="W102" s="64">
        <f t="shared" ref="W102:AN102" si="48">SUM(C40:C44,C49:C53,C58:C62,C67:C71,C76:C80,C85:C89,C94:C98)</f>
        <v>114</v>
      </c>
      <c r="X102" s="64">
        <f t="shared" si="48"/>
        <v>34</v>
      </c>
      <c r="Y102" s="64">
        <f t="shared" si="48"/>
        <v>0</v>
      </c>
      <c r="Z102" s="64">
        <f t="shared" si="48"/>
        <v>148</v>
      </c>
      <c r="AA102" s="64">
        <f t="shared" si="48"/>
        <v>2</v>
      </c>
      <c r="AB102" s="64">
        <f t="shared" si="48"/>
        <v>2</v>
      </c>
      <c r="AC102" s="64">
        <f t="shared" si="48"/>
        <v>1</v>
      </c>
      <c r="AD102" s="64">
        <f t="shared" si="48"/>
        <v>0</v>
      </c>
      <c r="AE102" s="64">
        <f t="shared" si="48"/>
        <v>0</v>
      </c>
      <c r="AF102" s="64">
        <f t="shared" si="48"/>
        <v>2</v>
      </c>
      <c r="AG102" s="64">
        <f t="shared" si="48"/>
        <v>0</v>
      </c>
      <c r="AH102" s="64">
        <f t="shared" si="48"/>
        <v>0</v>
      </c>
      <c r="AI102" s="64">
        <f t="shared" si="48"/>
        <v>0</v>
      </c>
      <c r="AJ102" s="64">
        <f t="shared" si="48"/>
        <v>82</v>
      </c>
      <c r="AK102" s="64">
        <f t="shared" si="48"/>
        <v>0</v>
      </c>
      <c r="AL102" s="64">
        <f t="shared" si="48"/>
        <v>39</v>
      </c>
      <c r="AM102" s="64">
        <f t="shared" si="48"/>
        <v>0</v>
      </c>
      <c r="AN102" s="64">
        <f t="shared" si="48"/>
        <v>23</v>
      </c>
    </row>
    <row r="103">
      <c r="A103" s="46">
        <v>46034.0</v>
      </c>
      <c r="B103" s="47" t="s">
        <v>42</v>
      </c>
      <c r="C103" s="49">
        <v>5.0</v>
      </c>
      <c r="D103" s="49">
        <v>2.0</v>
      </c>
      <c r="E103" s="48"/>
      <c r="F103" s="49">
        <f t="shared" ref="F103:F109" si="49">SUM(C103:E103)</f>
        <v>7</v>
      </c>
      <c r="G103" s="48"/>
      <c r="H103" s="48"/>
      <c r="I103" s="48"/>
      <c r="J103" s="48"/>
      <c r="K103" s="48"/>
      <c r="L103" s="48"/>
      <c r="M103" s="48"/>
      <c r="N103" s="48"/>
      <c r="O103" s="48"/>
      <c r="P103" s="49">
        <v>5.0</v>
      </c>
      <c r="Q103" s="48"/>
      <c r="R103" s="48"/>
      <c r="S103" s="48"/>
      <c r="T103" s="49">
        <v>2.0</v>
      </c>
      <c r="U103" s="40">
        <f t="shared" ref="U103:U110" si="50">sum(G103:T103)</f>
        <v>7</v>
      </c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</row>
    <row r="104">
      <c r="A104" s="50"/>
      <c r="B104" s="47" t="s">
        <v>85</v>
      </c>
      <c r="C104" s="49">
        <v>3.0</v>
      </c>
      <c r="D104" s="49">
        <v>1.0</v>
      </c>
      <c r="E104" s="48"/>
      <c r="F104" s="49">
        <f t="shared" si="49"/>
        <v>4</v>
      </c>
      <c r="G104" s="48"/>
      <c r="H104" s="48"/>
      <c r="I104" s="48"/>
      <c r="J104" s="48"/>
      <c r="K104" s="48"/>
      <c r="L104" s="48"/>
      <c r="M104" s="48"/>
      <c r="N104" s="48"/>
      <c r="O104" s="49">
        <v>1.0</v>
      </c>
      <c r="P104" s="48"/>
      <c r="Q104" s="48"/>
      <c r="R104" s="48"/>
      <c r="S104" s="48"/>
      <c r="T104" s="49">
        <v>3.0</v>
      </c>
      <c r="U104" s="40">
        <f t="shared" si="50"/>
        <v>4</v>
      </c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</row>
    <row r="105">
      <c r="A105" s="50"/>
      <c r="B105" s="47" t="s">
        <v>36</v>
      </c>
      <c r="C105" s="48"/>
      <c r="D105" s="48"/>
      <c r="E105" s="48"/>
      <c r="F105" s="49">
        <f t="shared" si="49"/>
        <v>0</v>
      </c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0">
        <f t="shared" si="50"/>
        <v>0</v>
      </c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</row>
    <row r="106">
      <c r="A106" s="50"/>
      <c r="B106" s="47" t="s">
        <v>29</v>
      </c>
      <c r="C106" s="49">
        <v>13.0</v>
      </c>
      <c r="D106" s="49">
        <v>5.0</v>
      </c>
      <c r="E106" s="48"/>
      <c r="F106" s="49">
        <f t="shared" si="49"/>
        <v>18</v>
      </c>
      <c r="G106" s="48"/>
      <c r="H106" s="48"/>
      <c r="I106" s="48"/>
      <c r="J106" s="48"/>
      <c r="K106" s="48"/>
      <c r="L106" s="48"/>
      <c r="M106" s="48"/>
      <c r="N106" s="48"/>
      <c r="O106" s="48"/>
      <c r="P106" s="49">
        <v>19.0</v>
      </c>
      <c r="Q106" s="48"/>
      <c r="R106" s="48"/>
      <c r="S106" s="48"/>
      <c r="T106" s="48"/>
      <c r="U106" s="40">
        <f t="shared" si="50"/>
        <v>19</v>
      </c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</row>
    <row r="107">
      <c r="A107" s="50"/>
      <c r="B107" s="47" t="s">
        <v>86</v>
      </c>
      <c r="C107" s="48"/>
      <c r="D107" s="48"/>
      <c r="E107" s="48"/>
      <c r="F107" s="49">
        <f t="shared" si="49"/>
        <v>0</v>
      </c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51">
        <f t="shared" si="50"/>
        <v>0</v>
      </c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</row>
    <row r="108">
      <c r="A108" s="50"/>
      <c r="B108" s="52" t="s">
        <v>87</v>
      </c>
      <c r="C108" s="54">
        <v>4.0</v>
      </c>
      <c r="D108" s="54">
        <v>3.0</v>
      </c>
      <c r="E108" s="53"/>
      <c r="F108" s="54">
        <f t="shared" si="49"/>
        <v>7</v>
      </c>
      <c r="G108" s="53"/>
      <c r="H108" s="53"/>
      <c r="I108" s="53"/>
      <c r="J108" s="53"/>
      <c r="K108" s="53"/>
      <c r="L108" s="53"/>
      <c r="M108" s="53"/>
      <c r="N108" s="53"/>
      <c r="O108" s="53"/>
      <c r="P108" s="54">
        <v>1.0</v>
      </c>
      <c r="Q108" s="53"/>
      <c r="R108" s="54">
        <v>1.0</v>
      </c>
      <c r="S108" s="53"/>
      <c r="T108" s="54">
        <v>6.0</v>
      </c>
      <c r="U108" s="40">
        <f t="shared" si="50"/>
        <v>8</v>
      </c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</row>
    <row r="109">
      <c r="A109" s="50"/>
      <c r="B109" s="52" t="s">
        <v>88</v>
      </c>
      <c r="C109" s="54">
        <v>0.0</v>
      </c>
      <c r="D109" s="54">
        <v>0.0</v>
      </c>
      <c r="E109" s="53"/>
      <c r="F109" s="54">
        <f t="shared" si="49"/>
        <v>0</v>
      </c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40">
        <f t="shared" si="50"/>
        <v>0</v>
      </c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</row>
    <row r="110">
      <c r="A110" s="50"/>
      <c r="B110" s="55" t="s">
        <v>89</v>
      </c>
      <c r="C110" s="55">
        <f t="shared" ref="C110:T110" si="51">SUM(C103:C109)</f>
        <v>25</v>
      </c>
      <c r="D110" s="55">
        <f t="shared" si="51"/>
        <v>11</v>
      </c>
      <c r="E110" s="55">
        <f t="shared" si="51"/>
        <v>0</v>
      </c>
      <c r="F110" s="55">
        <f t="shared" si="51"/>
        <v>36</v>
      </c>
      <c r="G110" s="55">
        <f t="shared" si="51"/>
        <v>0</v>
      </c>
      <c r="H110" s="55">
        <f t="shared" si="51"/>
        <v>0</v>
      </c>
      <c r="I110" s="55">
        <f t="shared" si="51"/>
        <v>0</v>
      </c>
      <c r="J110" s="55">
        <f t="shared" si="51"/>
        <v>0</v>
      </c>
      <c r="K110" s="55">
        <f t="shared" si="51"/>
        <v>0</v>
      </c>
      <c r="L110" s="55">
        <f t="shared" si="51"/>
        <v>0</v>
      </c>
      <c r="M110" s="55">
        <f t="shared" si="51"/>
        <v>0</v>
      </c>
      <c r="N110" s="55">
        <f t="shared" si="51"/>
        <v>0</v>
      </c>
      <c r="O110" s="55">
        <f t="shared" si="51"/>
        <v>1</v>
      </c>
      <c r="P110" s="55">
        <f t="shared" si="51"/>
        <v>25</v>
      </c>
      <c r="Q110" s="55">
        <f t="shared" si="51"/>
        <v>0</v>
      </c>
      <c r="R110" s="55">
        <f t="shared" si="51"/>
        <v>1</v>
      </c>
      <c r="S110" s="55">
        <f t="shared" si="51"/>
        <v>0</v>
      </c>
      <c r="T110" s="55">
        <f t="shared" si="51"/>
        <v>11</v>
      </c>
      <c r="U110" s="40">
        <f t="shared" si="50"/>
        <v>38</v>
      </c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</row>
    <row r="111">
      <c r="A111" s="56"/>
      <c r="B111" s="57" t="s">
        <v>90</v>
      </c>
      <c r="C111" s="58">
        <f t="shared" ref="C111:U111" si="52">C102+C110</f>
        <v>203</v>
      </c>
      <c r="D111" s="58">
        <f t="shared" si="52"/>
        <v>75</v>
      </c>
      <c r="E111" s="58">
        <f t="shared" si="52"/>
        <v>0</v>
      </c>
      <c r="F111" s="58">
        <f t="shared" si="52"/>
        <v>278</v>
      </c>
      <c r="G111" s="58">
        <f t="shared" si="52"/>
        <v>5</v>
      </c>
      <c r="H111" s="58">
        <f t="shared" si="52"/>
        <v>2</v>
      </c>
      <c r="I111" s="58">
        <f t="shared" si="52"/>
        <v>1</v>
      </c>
      <c r="J111" s="58">
        <f t="shared" si="52"/>
        <v>1</v>
      </c>
      <c r="K111" s="58">
        <f t="shared" si="52"/>
        <v>0</v>
      </c>
      <c r="L111" s="58">
        <f t="shared" si="52"/>
        <v>4</v>
      </c>
      <c r="M111" s="58">
        <f t="shared" si="52"/>
        <v>0</v>
      </c>
      <c r="N111" s="58">
        <f t="shared" si="52"/>
        <v>2</v>
      </c>
      <c r="O111" s="58">
        <f t="shared" si="52"/>
        <v>5</v>
      </c>
      <c r="P111" s="58">
        <f t="shared" si="52"/>
        <v>147</v>
      </c>
      <c r="Q111" s="58">
        <f t="shared" si="52"/>
        <v>0</v>
      </c>
      <c r="R111" s="58">
        <f t="shared" si="52"/>
        <v>68</v>
      </c>
      <c r="S111" s="58">
        <f t="shared" si="52"/>
        <v>0</v>
      </c>
      <c r="T111" s="58">
        <f t="shared" si="52"/>
        <v>62</v>
      </c>
      <c r="U111" s="40">
        <f t="shared" si="52"/>
        <v>297</v>
      </c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</row>
    <row r="112">
      <c r="A112" s="46">
        <v>46035.0</v>
      </c>
      <c r="B112" s="47" t="s">
        <v>42</v>
      </c>
      <c r="C112" s="49">
        <v>2.0</v>
      </c>
      <c r="D112" s="48"/>
      <c r="E112" s="48"/>
      <c r="F112" s="49">
        <f t="shared" ref="F112:F118" si="53">SUM(C112:E112)</f>
        <v>2</v>
      </c>
      <c r="G112" s="48"/>
      <c r="H112" s="48"/>
      <c r="I112" s="48"/>
      <c r="J112" s="48"/>
      <c r="K112" s="48"/>
      <c r="L112" s="48"/>
      <c r="M112" s="48"/>
      <c r="N112" s="48"/>
      <c r="O112" s="48"/>
      <c r="P112" s="49">
        <v>2.0</v>
      </c>
      <c r="Q112" s="48"/>
      <c r="R112" s="48"/>
      <c r="S112" s="48"/>
      <c r="T112" s="48"/>
      <c r="U112" s="40">
        <f t="shared" ref="U112:U119" si="54">sum(G112:T112)</f>
        <v>2</v>
      </c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</row>
    <row r="113">
      <c r="A113" s="50"/>
      <c r="B113" s="47" t="s">
        <v>85</v>
      </c>
      <c r="C113" s="48"/>
      <c r="D113" s="49">
        <v>1.0</v>
      </c>
      <c r="E113" s="48"/>
      <c r="F113" s="49">
        <f t="shared" si="53"/>
        <v>1</v>
      </c>
      <c r="G113" s="48"/>
      <c r="H113" s="48"/>
      <c r="I113" s="49">
        <v>1.0</v>
      </c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0">
        <f t="shared" si="54"/>
        <v>1</v>
      </c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</row>
    <row r="114">
      <c r="A114" s="50"/>
      <c r="B114" s="47" t="s">
        <v>36</v>
      </c>
      <c r="C114" s="49">
        <v>6.0</v>
      </c>
      <c r="D114" s="49">
        <v>1.0</v>
      </c>
      <c r="E114" s="49">
        <v>2.0</v>
      </c>
      <c r="F114" s="49">
        <f t="shared" si="53"/>
        <v>9</v>
      </c>
      <c r="G114" s="48"/>
      <c r="H114" s="48"/>
      <c r="I114" s="48"/>
      <c r="J114" s="48"/>
      <c r="K114" s="48"/>
      <c r="L114" s="48"/>
      <c r="M114" s="48"/>
      <c r="N114" s="48"/>
      <c r="O114" s="48"/>
      <c r="P114" s="49">
        <v>3.0</v>
      </c>
      <c r="Q114" s="48"/>
      <c r="R114" s="48"/>
      <c r="S114" s="48"/>
      <c r="T114" s="49">
        <v>6.0</v>
      </c>
      <c r="U114" s="40">
        <f t="shared" si="54"/>
        <v>9</v>
      </c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</row>
    <row r="115">
      <c r="A115" s="50"/>
      <c r="B115" s="47" t="s">
        <v>29</v>
      </c>
      <c r="C115" s="48"/>
      <c r="D115" s="48"/>
      <c r="E115" s="48"/>
      <c r="F115" s="49">
        <f t="shared" si="53"/>
        <v>0</v>
      </c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0">
        <f t="shared" si="54"/>
        <v>0</v>
      </c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</row>
    <row r="116">
      <c r="A116" s="50"/>
      <c r="B116" s="47" t="s">
        <v>86</v>
      </c>
      <c r="C116" s="49">
        <v>1.0</v>
      </c>
      <c r="D116" s="49">
        <v>2.0</v>
      </c>
      <c r="E116" s="48"/>
      <c r="F116" s="49">
        <f t="shared" si="53"/>
        <v>3</v>
      </c>
      <c r="G116" s="48"/>
      <c r="H116" s="48"/>
      <c r="I116" s="48"/>
      <c r="J116" s="48"/>
      <c r="K116" s="48"/>
      <c r="L116" s="49">
        <v>1.0</v>
      </c>
      <c r="M116" s="48"/>
      <c r="N116" s="48"/>
      <c r="O116" s="48"/>
      <c r="P116" s="48"/>
      <c r="Q116" s="48"/>
      <c r="R116" s="48"/>
      <c r="S116" s="48"/>
      <c r="T116" s="49">
        <v>2.0</v>
      </c>
      <c r="U116" s="51">
        <f t="shared" si="54"/>
        <v>3</v>
      </c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</row>
    <row r="117">
      <c r="A117" s="50"/>
      <c r="B117" s="52" t="s">
        <v>87</v>
      </c>
      <c r="C117" s="54">
        <v>1.0</v>
      </c>
      <c r="D117" s="54">
        <v>1.0</v>
      </c>
      <c r="E117" s="53"/>
      <c r="F117" s="54">
        <f t="shared" si="53"/>
        <v>2</v>
      </c>
      <c r="G117" s="53"/>
      <c r="H117" s="53"/>
      <c r="I117" s="53"/>
      <c r="J117" s="53"/>
      <c r="K117" s="53"/>
      <c r="L117" s="53"/>
      <c r="M117" s="53"/>
      <c r="N117" s="53"/>
      <c r="O117" s="53"/>
      <c r="P117" s="54">
        <v>3.0</v>
      </c>
      <c r="Q117" s="54">
        <v>1.0</v>
      </c>
      <c r="R117" s="53"/>
      <c r="S117" s="53"/>
      <c r="T117" s="54">
        <v>2.0</v>
      </c>
      <c r="U117" s="40">
        <f t="shared" si="54"/>
        <v>6</v>
      </c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</row>
    <row r="118">
      <c r="A118" s="50"/>
      <c r="B118" s="52" t="s">
        <v>88</v>
      </c>
      <c r="C118" s="54">
        <v>0.0</v>
      </c>
      <c r="D118" s="54">
        <v>0.0</v>
      </c>
      <c r="E118" s="53"/>
      <c r="F118" s="54">
        <f t="shared" si="53"/>
        <v>0</v>
      </c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40">
        <f t="shared" si="54"/>
        <v>0</v>
      </c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</row>
    <row r="119">
      <c r="A119" s="50"/>
      <c r="B119" s="55" t="s">
        <v>89</v>
      </c>
      <c r="C119" s="55">
        <f t="shared" ref="C119:T119" si="55">SUM(C112:C118)</f>
        <v>10</v>
      </c>
      <c r="D119" s="55">
        <f t="shared" si="55"/>
        <v>5</v>
      </c>
      <c r="E119" s="55">
        <f t="shared" si="55"/>
        <v>2</v>
      </c>
      <c r="F119" s="55">
        <f t="shared" si="55"/>
        <v>17</v>
      </c>
      <c r="G119" s="55">
        <f t="shared" si="55"/>
        <v>0</v>
      </c>
      <c r="H119" s="55">
        <f t="shared" si="55"/>
        <v>0</v>
      </c>
      <c r="I119" s="55">
        <f t="shared" si="55"/>
        <v>1</v>
      </c>
      <c r="J119" s="55">
        <f t="shared" si="55"/>
        <v>0</v>
      </c>
      <c r="K119" s="55">
        <f t="shared" si="55"/>
        <v>0</v>
      </c>
      <c r="L119" s="55">
        <f t="shared" si="55"/>
        <v>1</v>
      </c>
      <c r="M119" s="55">
        <f t="shared" si="55"/>
        <v>0</v>
      </c>
      <c r="N119" s="55">
        <f t="shared" si="55"/>
        <v>0</v>
      </c>
      <c r="O119" s="55">
        <f t="shared" si="55"/>
        <v>0</v>
      </c>
      <c r="P119" s="55">
        <f t="shared" si="55"/>
        <v>8</v>
      </c>
      <c r="Q119" s="55">
        <f t="shared" si="55"/>
        <v>1</v>
      </c>
      <c r="R119" s="55">
        <f t="shared" si="55"/>
        <v>0</v>
      </c>
      <c r="S119" s="55">
        <f t="shared" si="55"/>
        <v>0</v>
      </c>
      <c r="T119" s="55">
        <f t="shared" si="55"/>
        <v>10</v>
      </c>
      <c r="U119" s="40">
        <f t="shared" si="54"/>
        <v>21</v>
      </c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</row>
    <row r="120">
      <c r="A120" s="56"/>
      <c r="B120" s="57" t="s">
        <v>90</v>
      </c>
      <c r="C120" s="58">
        <f t="shared" ref="C120:U120" si="56">C111+C119</f>
        <v>213</v>
      </c>
      <c r="D120" s="58">
        <f t="shared" si="56"/>
        <v>80</v>
      </c>
      <c r="E120" s="58">
        <f t="shared" si="56"/>
        <v>2</v>
      </c>
      <c r="F120" s="58">
        <f t="shared" si="56"/>
        <v>295</v>
      </c>
      <c r="G120" s="58">
        <f t="shared" si="56"/>
        <v>5</v>
      </c>
      <c r="H120" s="58">
        <f t="shared" si="56"/>
        <v>2</v>
      </c>
      <c r="I120" s="58">
        <f t="shared" si="56"/>
        <v>2</v>
      </c>
      <c r="J120" s="58">
        <f t="shared" si="56"/>
        <v>1</v>
      </c>
      <c r="K120" s="58">
        <f t="shared" si="56"/>
        <v>0</v>
      </c>
      <c r="L120" s="58">
        <f t="shared" si="56"/>
        <v>5</v>
      </c>
      <c r="M120" s="58">
        <f t="shared" si="56"/>
        <v>0</v>
      </c>
      <c r="N120" s="58">
        <f t="shared" si="56"/>
        <v>2</v>
      </c>
      <c r="O120" s="58">
        <f t="shared" si="56"/>
        <v>5</v>
      </c>
      <c r="P120" s="58">
        <f t="shared" si="56"/>
        <v>155</v>
      </c>
      <c r="Q120" s="58">
        <f t="shared" si="56"/>
        <v>1</v>
      </c>
      <c r="R120" s="58">
        <f t="shared" si="56"/>
        <v>68</v>
      </c>
      <c r="S120" s="58">
        <f t="shared" si="56"/>
        <v>0</v>
      </c>
      <c r="T120" s="58">
        <f t="shared" si="56"/>
        <v>72</v>
      </c>
      <c r="U120" s="40">
        <f t="shared" si="56"/>
        <v>318</v>
      </c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</row>
    <row r="121">
      <c r="A121" s="46">
        <v>46036.0</v>
      </c>
      <c r="B121" s="47" t="s">
        <v>42</v>
      </c>
      <c r="C121" s="49">
        <v>2.0</v>
      </c>
      <c r="D121" s="48"/>
      <c r="E121" s="48"/>
      <c r="F121" s="49">
        <f t="shared" ref="F121:F127" si="57">SUM(C121:E121)</f>
        <v>2</v>
      </c>
      <c r="G121" s="48"/>
      <c r="H121" s="48"/>
      <c r="I121" s="48"/>
      <c r="J121" s="48"/>
      <c r="K121" s="48"/>
      <c r="L121" s="48"/>
      <c r="M121" s="48"/>
      <c r="N121" s="48"/>
      <c r="O121" s="49">
        <v>2.0</v>
      </c>
      <c r="P121" s="48"/>
      <c r="Q121" s="48"/>
      <c r="R121" s="48"/>
      <c r="S121" s="48"/>
      <c r="T121" s="48"/>
      <c r="U121" s="40">
        <f t="shared" ref="U121:U128" si="58">sum(G121:T121)</f>
        <v>2</v>
      </c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</row>
    <row r="122">
      <c r="A122" s="50"/>
      <c r="B122" s="47" t="s">
        <v>85</v>
      </c>
      <c r="C122" s="48"/>
      <c r="D122" s="48"/>
      <c r="E122" s="48"/>
      <c r="F122" s="49">
        <f t="shared" si="57"/>
        <v>0</v>
      </c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0">
        <f t="shared" si="58"/>
        <v>0</v>
      </c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</row>
    <row r="123">
      <c r="A123" s="50"/>
      <c r="B123" s="47" t="s">
        <v>36</v>
      </c>
      <c r="C123" s="49">
        <v>4.0</v>
      </c>
      <c r="D123" s="49">
        <v>2.0</v>
      </c>
      <c r="E123" s="48"/>
      <c r="F123" s="49">
        <f t="shared" si="57"/>
        <v>6</v>
      </c>
      <c r="G123" s="49">
        <v>1.0</v>
      </c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9">
        <v>5.0</v>
      </c>
      <c r="U123" s="40">
        <f t="shared" si="58"/>
        <v>6</v>
      </c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</row>
    <row r="124">
      <c r="A124" s="50"/>
      <c r="B124" s="47" t="s">
        <v>29</v>
      </c>
      <c r="C124" s="48"/>
      <c r="D124" s="48"/>
      <c r="E124" s="48"/>
      <c r="F124" s="49">
        <f t="shared" si="57"/>
        <v>0</v>
      </c>
      <c r="G124" s="48"/>
      <c r="H124" s="48"/>
      <c r="I124" s="48"/>
      <c r="J124" s="48"/>
      <c r="K124" s="48"/>
      <c r="L124" s="48"/>
      <c r="M124" s="48"/>
      <c r="N124" s="35"/>
      <c r="O124" s="48"/>
      <c r="P124" s="48"/>
      <c r="Q124" s="48"/>
      <c r="R124" s="48"/>
      <c r="S124" s="48"/>
      <c r="T124" s="48"/>
      <c r="U124" s="40">
        <f t="shared" si="58"/>
        <v>0</v>
      </c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</row>
    <row r="125">
      <c r="A125" s="50"/>
      <c r="B125" s="47" t="s">
        <v>86</v>
      </c>
      <c r="C125" s="49">
        <v>3.0</v>
      </c>
      <c r="D125" s="48"/>
      <c r="E125" s="48"/>
      <c r="F125" s="49">
        <f t="shared" si="57"/>
        <v>3</v>
      </c>
      <c r="G125" s="48"/>
      <c r="H125" s="48"/>
      <c r="I125" s="48"/>
      <c r="J125" s="48"/>
      <c r="K125" s="48"/>
      <c r="L125" s="48"/>
      <c r="M125" s="48"/>
      <c r="N125" s="48"/>
      <c r="O125" s="48"/>
      <c r="P125" s="49">
        <v>1.0</v>
      </c>
      <c r="Q125" s="48"/>
      <c r="R125" s="48"/>
      <c r="S125" s="48"/>
      <c r="T125" s="49">
        <v>2.0</v>
      </c>
      <c r="U125" s="51">
        <f t="shared" si="58"/>
        <v>3</v>
      </c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</row>
    <row r="126">
      <c r="A126" s="50"/>
      <c r="B126" s="52" t="s">
        <v>87</v>
      </c>
      <c r="C126" s="54">
        <v>3.0</v>
      </c>
      <c r="D126" s="54">
        <v>2.0</v>
      </c>
      <c r="E126" s="53"/>
      <c r="F126" s="54">
        <f t="shared" si="57"/>
        <v>5</v>
      </c>
      <c r="G126" s="53"/>
      <c r="H126" s="53"/>
      <c r="I126" s="53"/>
      <c r="J126" s="53"/>
      <c r="K126" s="53"/>
      <c r="L126" s="53"/>
      <c r="M126" s="53"/>
      <c r="N126" s="54">
        <v>1.0</v>
      </c>
      <c r="O126" s="53"/>
      <c r="P126" s="54">
        <v>2.0</v>
      </c>
      <c r="Q126" s="53"/>
      <c r="R126" s="53"/>
      <c r="S126" s="53"/>
      <c r="T126" s="54">
        <v>8.0</v>
      </c>
      <c r="U126" s="40">
        <f t="shared" si="58"/>
        <v>11</v>
      </c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</row>
    <row r="127">
      <c r="A127" s="50"/>
      <c r="B127" s="52" t="s">
        <v>88</v>
      </c>
      <c r="C127" s="54">
        <v>0.0</v>
      </c>
      <c r="D127" s="67">
        <v>0.0</v>
      </c>
      <c r="E127" s="53"/>
      <c r="F127" s="54">
        <f t="shared" si="57"/>
        <v>0</v>
      </c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40">
        <f t="shared" si="58"/>
        <v>0</v>
      </c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</row>
    <row r="128">
      <c r="A128" s="50"/>
      <c r="B128" s="55" t="s">
        <v>89</v>
      </c>
      <c r="C128" s="55">
        <f t="shared" ref="C128:T128" si="59">SUM(C121:C127)</f>
        <v>12</v>
      </c>
      <c r="D128" s="55">
        <f t="shared" si="59"/>
        <v>4</v>
      </c>
      <c r="E128" s="55">
        <f t="shared" si="59"/>
        <v>0</v>
      </c>
      <c r="F128" s="55">
        <f t="shared" si="59"/>
        <v>16</v>
      </c>
      <c r="G128" s="55">
        <f t="shared" si="59"/>
        <v>1</v>
      </c>
      <c r="H128" s="55">
        <f t="shared" si="59"/>
        <v>0</v>
      </c>
      <c r="I128" s="55">
        <f t="shared" si="59"/>
        <v>0</v>
      </c>
      <c r="J128" s="55">
        <f t="shared" si="59"/>
        <v>0</v>
      </c>
      <c r="K128" s="55">
        <f t="shared" si="59"/>
        <v>0</v>
      </c>
      <c r="L128" s="55">
        <f t="shared" si="59"/>
        <v>0</v>
      </c>
      <c r="M128" s="55">
        <f t="shared" si="59"/>
        <v>0</v>
      </c>
      <c r="N128" s="55">
        <f t="shared" si="59"/>
        <v>1</v>
      </c>
      <c r="O128" s="55">
        <f t="shared" si="59"/>
        <v>2</v>
      </c>
      <c r="P128" s="55">
        <f t="shared" si="59"/>
        <v>3</v>
      </c>
      <c r="Q128" s="55">
        <f t="shared" si="59"/>
        <v>0</v>
      </c>
      <c r="R128" s="55">
        <f t="shared" si="59"/>
        <v>0</v>
      </c>
      <c r="S128" s="55">
        <f t="shared" si="59"/>
        <v>0</v>
      </c>
      <c r="T128" s="55">
        <f t="shared" si="59"/>
        <v>15</v>
      </c>
      <c r="U128" s="40">
        <f t="shared" si="58"/>
        <v>22</v>
      </c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</row>
    <row r="129">
      <c r="A129" s="56"/>
      <c r="B129" s="57" t="s">
        <v>90</v>
      </c>
      <c r="C129" s="58">
        <f t="shared" ref="C129:U129" si="60">C120+C128</f>
        <v>225</v>
      </c>
      <c r="D129" s="58">
        <f t="shared" si="60"/>
        <v>84</v>
      </c>
      <c r="E129" s="58">
        <f t="shared" si="60"/>
        <v>2</v>
      </c>
      <c r="F129" s="58">
        <f t="shared" si="60"/>
        <v>311</v>
      </c>
      <c r="G129" s="58">
        <f t="shared" si="60"/>
        <v>6</v>
      </c>
      <c r="H129" s="58">
        <f t="shared" si="60"/>
        <v>2</v>
      </c>
      <c r="I129" s="58">
        <f t="shared" si="60"/>
        <v>2</v>
      </c>
      <c r="J129" s="58">
        <f t="shared" si="60"/>
        <v>1</v>
      </c>
      <c r="K129" s="58">
        <f t="shared" si="60"/>
        <v>0</v>
      </c>
      <c r="L129" s="58">
        <f t="shared" si="60"/>
        <v>5</v>
      </c>
      <c r="M129" s="58">
        <f t="shared" si="60"/>
        <v>0</v>
      </c>
      <c r="N129" s="58">
        <f t="shared" si="60"/>
        <v>3</v>
      </c>
      <c r="O129" s="58">
        <f t="shared" si="60"/>
        <v>7</v>
      </c>
      <c r="P129" s="58">
        <f t="shared" si="60"/>
        <v>158</v>
      </c>
      <c r="Q129" s="58">
        <f t="shared" si="60"/>
        <v>1</v>
      </c>
      <c r="R129" s="58">
        <f t="shared" si="60"/>
        <v>68</v>
      </c>
      <c r="S129" s="58">
        <f t="shared" si="60"/>
        <v>0</v>
      </c>
      <c r="T129" s="58">
        <f t="shared" si="60"/>
        <v>87</v>
      </c>
      <c r="U129" s="40">
        <f t="shared" si="60"/>
        <v>340</v>
      </c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</row>
    <row r="130">
      <c r="A130" s="46">
        <v>46037.0</v>
      </c>
      <c r="B130" s="47" t="s">
        <v>42</v>
      </c>
      <c r="C130" s="49">
        <v>1.0</v>
      </c>
      <c r="D130" s="48"/>
      <c r="E130" s="48"/>
      <c r="F130" s="49">
        <f t="shared" ref="F130:F136" si="61">SUM(C130:E130)</f>
        <v>1</v>
      </c>
      <c r="G130" s="48"/>
      <c r="H130" s="48"/>
      <c r="I130" s="48"/>
      <c r="J130" s="48"/>
      <c r="K130" s="48"/>
      <c r="L130" s="48"/>
      <c r="M130" s="48"/>
      <c r="N130" s="48"/>
      <c r="O130" s="49">
        <v>1.0</v>
      </c>
      <c r="P130" s="49">
        <v>1.0</v>
      </c>
      <c r="Q130" s="48"/>
      <c r="R130" s="48"/>
      <c r="S130" s="48"/>
      <c r="T130" s="48"/>
      <c r="U130" s="40">
        <f t="shared" ref="U130:U137" si="62">sum(G130:T130)</f>
        <v>2</v>
      </c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</row>
    <row r="131">
      <c r="A131" s="50"/>
      <c r="B131" s="47" t="s">
        <v>85</v>
      </c>
      <c r="C131" s="49">
        <v>1.0</v>
      </c>
      <c r="D131" s="49">
        <v>2.0</v>
      </c>
      <c r="E131" s="48"/>
      <c r="F131" s="49">
        <f t="shared" si="61"/>
        <v>3</v>
      </c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9">
        <v>3.0</v>
      </c>
      <c r="U131" s="40">
        <f t="shared" si="62"/>
        <v>3</v>
      </c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</row>
    <row r="132">
      <c r="A132" s="50"/>
      <c r="B132" s="47" t="s">
        <v>36</v>
      </c>
      <c r="C132" s="49">
        <v>14.0</v>
      </c>
      <c r="D132" s="49">
        <v>2.0</v>
      </c>
      <c r="E132" s="48"/>
      <c r="F132" s="49">
        <f t="shared" si="61"/>
        <v>16</v>
      </c>
      <c r="G132" s="48"/>
      <c r="H132" s="48"/>
      <c r="I132" s="48"/>
      <c r="J132" s="48"/>
      <c r="K132" s="48"/>
      <c r="L132" s="49">
        <v>1.0</v>
      </c>
      <c r="M132" s="48"/>
      <c r="N132" s="48"/>
      <c r="O132" s="48"/>
      <c r="P132" s="49">
        <v>15.0</v>
      </c>
      <c r="Q132" s="48"/>
      <c r="R132" s="48"/>
      <c r="S132" s="48"/>
      <c r="T132" s="48"/>
      <c r="U132" s="40">
        <f t="shared" si="62"/>
        <v>16</v>
      </c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</row>
    <row r="133">
      <c r="A133" s="50"/>
      <c r="B133" s="47" t="s">
        <v>29</v>
      </c>
      <c r="C133" s="49">
        <v>22.0</v>
      </c>
      <c r="D133" s="49">
        <v>11.0</v>
      </c>
      <c r="E133" s="48"/>
      <c r="F133" s="49">
        <f t="shared" si="61"/>
        <v>33</v>
      </c>
      <c r="G133" s="48"/>
      <c r="H133" s="48"/>
      <c r="I133" s="35"/>
      <c r="J133" s="48"/>
      <c r="K133" s="48"/>
      <c r="L133" s="48"/>
      <c r="M133" s="48"/>
      <c r="N133" s="48"/>
      <c r="O133" s="48"/>
      <c r="P133" s="48"/>
      <c r="Q133" s="48"/>
      <c r="R133" s="49">
        <v>33.0</v>
      </c>
      <c r="S133" s="48"/>
      <c r="T133" s="48"/>
      <c r="U133" s="40">
        <f t="shared" si="62"/>
        <v>33</v>
      </c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</row>
    <row r="134">
      <c r="A134" s="50"/>
      <c r="B134" s="47" t="s">
        <v>86</v>
      </c>
      <c r="C134" s="49">
        <v>13.0</v>
      </c>
      <c r="D134" s="49">
        <v>2.0</v>
      </c>
      <c r="E134" s="48"/>
      <c r="F134" s="49">
        <f t="shared" si="61"/>
        <v>15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9">
        <v>15.0</v>
      </c>
      <c r="Q134" s="48"/>
      <c r="R134" s="48"/>
      <c r="S134" s="48"/>
      <c r="T134" s="48"/>
      <c r="U134" s="51">
        <f t="shared" si="62"/>
        <v>15</v>
      </c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</row>
    <row r="135">
      <c r="A135" s="50"/>
      <c r="B135" s="52" t="s">
        <v>87</v>
      </c>
      <c r="C135" s="54">
        <v>2.0</v>
      </c>
      <c r="D135" s="53"/>
      <c r="E135" s="53"/>
      <c r="F135" s="54">
        <f t="shared" si="61"/>
        <v>2</v>
      </c>
      <c r="G135" s="53"/>
      <c r="H135" s="53"/>
      <c r="I135" s="53"/>
      <c r="J135" s="53"/>
      <c r="K135" s="53"/>
      <c r="L135" s="53"/>
      <c r="M135" s="53"/>
      <c r="N135" s="53"/>
      <c r="O135" s="53"/>
      <c r="P135" s="54">
        <v>1.0</v>
      </c>
      <c r="Q135" s="54">
        <v>1.0</v>
      </c>
      <c r="R135" s="53"/>
      <c r="S135" s="53"/>
      <c r="T135" s="54">
        <v>2.0</v>
      </c>
      <c r="U135" s="40">
        <f t="shared" si="62"/>
        <v>4</v>
      </c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</row>
    <row r="136">
      <c r="A136" s="50"/>
      <c r="B136" s="52" t="s">
        <v>88</v>
      </c>
      <c r="C136" s="54">
        <v>0.0</v>
      </c>
      <c r="D136" s="54">
        <v>0.0</v>
      </c>
      <c r="E136" s="53"/>
      <c r="F136" s="54">
        <f t="shared" si="61"/>
        <v>0</v>
      </c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40">
        <f t="shared" si="62"/>
        <v>0</v>
      </c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</row>
    <row r="137">
      <c r="A137" s="50"/>
      <c r="B137" s="55" t="s">
        <v>89</v>
      </c>
      <c r="C137" s="55">
        <f t="shared" ref="C137:T137" si="63">SUM(C130:C136)</f>
        <v>53</v>
      </c>
      <c r="D137" s="55">
        <f t="shared" si="63"/>
        <v>17</v>
      </c>
      <c r="E137" s="55">
        <f t="shared" si="63"/>
        <v>0</v>
      </c>
      <c r="F137" s="55">
        <f t="shared" si="63"/>
        <v>70</v>
      </c>
      <c r="G137" s="55">
        <f t="shared" si="63"/>
        <v>0</v>
      </c>
      <c r="H137" s="55">
        <f t="shared" si="63"/>
        <v>0</v>
      </c>
      <c r="I137" s="55">
        <f t="shared" si="63"/>
        <v>0</v>
      </c>
      <c r="J137" s="55">
        <f t="shared" si="63"/>
        <v>0</v>
      </c>
      <c r="K137" s="55">
        <f t="shared" si="63"/>
        <v>0</v>
      </c>
      <c r="L137" s="55">
        <f t="shared" si="63"/>
        <v>1</v>
      </c>
      <c r="M137" s="55">
        <f t="shared" si="63"/>
        <v>0</v>
      </c>
      <c r="N137" s="55">
        <f t="shared" si="63"/>
        <v>0</v>
      </c>
      <c r="O137" s="55">
        <f t="shared" si="63"/>
        <v>1</v>
      </c>
      <c r="P137" s="55">
        <f t="shared" si="63"/>
        <v>32</v>
      </c>
      <c r="Q137" s="55">
        <f t="shared" si="63"/>
        <v>1</v>
      </c>
      <c r="R137" s="55">
        <f t="shared" si="63"/>
        <v>33</v>
      </c>
      <c r="S137" s="55">
        <f t="shared" si="63"/>
        <v>0</v>
      </c>
      <c r="T137" s="55">
        <f t="shared" si="63"/>
        <v>5</v>
      </c>
      <c r="U137" s="40">
        <f t="shared" si="62"/>
        <v>73</v>
      </c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</row>
    <row r="138">
      <c r="A138" s="56"/>
      <c r="B138" s="57" t="s">
        <v>90</v>
      </c>
      <c r="C138" s="58">
        <f t="shared" ref="C138:U138" si="64">C129+C137</f>
        <v>278</v>
      </c>
      <c r="D138" s="58">
        <f t="shared" si="64"/>
        <v>101</v>
      </c>
      <c r="E138" s="58">
        <f t="shared" si="64"/>
        <v>2</v>
      </c>
      <c r="F138" s="58">
        <f t="shared" si="64"/>
        <v>381</v>
      </c>
      <c r="G138" s="58">
        <f t="shared" si="64"/>
        <v>6</v>
      </c>
      <c r="H138" s="58">
        <f t="shared" si="64"/>
        <v>2</v>
      </c>
      <c r="I138" s="58">
        <f t="shared" si="64"/>
        <v>2</v>
      </c>
      <c r="J138" s="58">
        <f t="shared" si="64"/>
        <v>1</v>
      </c>
      <c r="K138" s="58">
        <f t="shared" si="64"/>
        <v>0</v>
      </c>
      <c r="L138" s="58">
        <f t="shared" si="64"/>
        <v>6</v>
      </c>
      <c r="M138" s="58">
        <f t="shared" si="64"/>
        <v>0</v>
      </c>
      <c r="N138" s="58">
        <f t="shared" si="64"/>
        <v>3</v>
      </c>
      <c r="O138" s="58">
        <f t="shared" si="64"/>
        <v>8</v>
      </c>
      <c r="P138" s="58">
        <f t="shared" si="64"/>
        <v>190</v>
      </c>
      <c r="Q138" s="58">
        <f t="shared" si="64"/>
        <v>2</v>
      </c>
      <c r="R138" s="58">
        <f t="shared" si="64"/>
        <v>101</v>
      </c>
      <c r="S138" s="58">
        <f t="shared" si="64"/>
        <v>0</v>
      </c>
      <c r="T138" s="58">
        <f t="shared" si="64"/>
        <v>92</v>
      </c>
      <c r="U138" s="40">
        <f t="shared" si="64"/>
        <v>413</v>
      </c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</row>
    <row r="139">
      <c r="A139" s="46">
        <v>46038.0</v>
      </c>
      <c r="B139" s="47" t="s">
        <v>42</v>
      </c>
      <c r="C139" s="49">
        <v>1.0</v>
      </c>
      <c r="D139" s="48"/>
      <c r="E139" s="48"/>
      <c r="F139" s="49">
        <f t="shared" ref="F139:F145" si="65">SUM(C139:E139)</f>
        <v>1</v>
      </c>
      <c r="G139" s="48"/>
      <c r="H139" s="48"/>
      <c r="I139" s="48"/>
      <c r="J139" s="48"/>
      <c r="K139" s="48"/>
      <c r="L139" s="48"/>
      <c r="M139" s="48"/>
      <c r="N139" s="48"/>
      <c r="O139" s="49">
        <v>1.0</v>
      </c>
      <c r="P139" s="49">
        <v>1.0</v>
      </c>
      <c r="Q139" s="48"/>
      <c r="R139" s="48"/>
      <c r="S139" s="48"/>
      <c r="T139" s="48"/>
      <c r="U139" s="40">
        <f t="shared" ref="U139:U146" si="66">sum(G139:T139)</f>
        <v>2</v>
      </c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</row>
    <row r="140">
      <c r="A140" s="50"/>
      <c r="B140" s="47" t="s">
        <v>85</v>
      </c>
      <c r="C140" s="48"/>
      <c r="D140" s="49">
        <v>1.0</v>
      </c>
      <c r="E140" s="48"/>
      <c r="F140" s="49">
        <f t="shared" si="65"/>
        <v>1</v>
      </c>
      <c r="G140" s="49">
        <v>1.0</v>
      </c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0">
        <f t="shared" si="66"/>
        <v>1</v>
      </c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</row>
    <row r="141">
      <c r="A141" s="50"/>
      <c r="B141" s="47" t="s">
        <v>36</v>
      </c>
      <c r="C141" s="49">
        <v>13.0</v>
      </c>
      <c r="D141" s="49">
        <v>4.0</v>
      </c>
      <c r="E141" s="48"/>
      <c r="F141" s="49">
        <f t="shared" si="65"/>
        <v>17</v>
      </c>
      <c r="G141" s="48"/>
      <c r="H141" s="48"/>
      <c r="I141" s="48"/>
      <c r="J141" s="48"/>
      <c r="K141" s="48"/>
      <c r="L141" s="48"/>
      <c r="M141" s="48"/>
      <c r="N141" s="48"/>
      <c r="O141" s="48"/>
      <c r="P141" s="49">
        <v>13.0</v>
      </c>
      <c r="Q141" s="48"/>
      <c r="R141" s="48"/>
      <c r="S141" s="48"/>
      <c r="T141" s="49">
        <v>4.0</v>
      </c>
      <c r="U141" s="40">
        <f t="shared" si="66"/>
        <v>17</v>
      </c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</row>
    <row r="142">
      <c r="A142" s="50"/>
      <c r="B142" s="47" t="s">
        <v>29</v>
      </c>
      <c r="C142" s="48"/>
      <c r="D142" s="48"/>
      <c r="E142" s="48"/>
      <c r="F142" s="49">
        <f t="shared" si="65"/>
        <v>0</v>
      </c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0">
        <f t="shared" si="66"/>
        <v>0</v>
      </c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</row>
    <row r="143">
      <c r="A143" s="50"/>
      <c r="B143" s="47" t="s">
        <v>86</v>
      </c>
      <c r="C143" s="49">
        <v>4.0</v>
      </c>
      <c r="D143" s="48"/>
      <c r="E143" s="48"/>
      <c r="F143" s="49">
        <f t="shared" si="65"/>
        <v>4</v>
      </c>
      <c r="G143" s="48"/>
      <c r="H143" s="48"/>
      <c r="I143" s="48"/>
      <c r="J143" s="48"/>
      <c r="K143" s="48"/>
      <c r="L143" s="48"/>
      <c r="M143" s="48"/>
      <c r="N143" s="48"/>
      <c r="O143" s="48"/>
      <c r="P143" s="49">
        <v>3.0</v>
      </c>
      <c r="Q143" s="48"/>
      <c r="R143" s="48"/>
      <c r="S143" s="48"/>
      <c r="T143" s="49">
        <v>1.0</v>
      </c>
      <c r="U143" s="51">
        <f t="shared" si="66"/>
        <v>4</v>
      </c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</row>
    <row r="144">
      <c r="A144" s="50"/>
      <c r="B144" s="52" t="s">
        <v>87</v>
      </c>
      <c r="C144" s="54">
        <v>3.0</v>
      </c>
      <c r="D144" s="54">
        <v>2.0</v>
      </c>
      <c r="E144" s="53"/>
      <c r="F144" s="54">
        <f t="shared" si="65"/>
        <v>5</v>
      </c>
      <c r="G144" s="53"/>
      <c r="H144" s="54">
        <v>1.0</v>
      </c>
      <c r="I144" s="53"/>
      <c r="J144" s="53"/>
      <c r="K144" s="53"/>
      <c r="L144" s="53"/>
      <c r="M144" s="53"/>
      <c r="N144" s="54">
        <v>1.0</v>
      </c>
      <c r="O144" s="53"/>
      <c r="P144" s="54">
        <v>2.0</v>
      </c>
      <c r="Q144" s="53"/>
      <c r="R144" s="54">
        <v>2.0</v>
      </c>
      <c r="S144" s="53"/>
      <c r="T144" s="54">
        <v>1.0</v>
      </c>
      <c r="U144" s="40">
        <f t="shared" si="66"/>
        <v>7</v>
      </c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</row>
    <row r="145">
      <c r="A145" s="50"/>
      <c r="B145" s="52" t="s">
        <v>88</v>
      </c>
      <c r="C145" s="54">
        <v>0.0</v>
      </c>
      <c r="D145" s="54">
        <v>0.0</v>
      </c>
      <c r="E145" s="53"/>
      <c r="F145" s="54">
        <f t="shared" si="65"/>
        <v>0</v>
      </c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40">
        <f t="shared" si="66"/>
        <v>0</v>
      </c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</row>
    <row r="146">
      <c r="A146" s="50"/>
      <c r="B146" s="55" t="s">
        <v>89</v>
      </c>
      <c r="C146" s="55">
        <f t="shared" ref="C146:T146" si="67">SUM(C139:C145)</f>
        <v>21</v>
      </c>
      <c r="D146" s="55">
        <f t="shared" si="67"/>
        <v>7</v>
      </c>
      <c r="E146" s="55">
        <f t="shared" si="67"/>
        <v>0</v>
      </c>
      <c r="F146" s="55">
        <f t="shared" si="67"/>
        <v>28</v>
      </c>
      <c r="G146" s="55">
        <f t="shared" si="67"/>
        <v>1</v>
      </c>
      <c r="H146" s="55">
        <f t="shared" si="67"/>
        <v>1</v>
      </c>
      <c r="I146" s="55">
        <f t="shared" si="67"/>
        <v>0</v>
      </c>
      <c r="J146" s="55">
        <f t="shared" si="67"/>
        <v>0</v>
      </c>
      <c r="K146" s="55">
        <f t="shared" si="67"/>
        <v>0</v>
      </c>
      <c r="L146" s="55">
        <f t="shared" si="67"/>
        <v>0</v>
      </c>
      <c r="M146" s="55">
        <f t="shared" si="67"/>
        <v>0</v>
      </c>
      <c r="N146" s="55">
        <f t="shared" si="67"/>
        <v>1</v>
      </c>
      <c r="O146" s="55">
        <f t="shared" si="67"/>
        <v>1</v>
      </c>
      <c r="P146" s="55">
        <f t="shared" si="67"/>
        <v>19</v>
      </c>
      <c r="Q146" s="55">
        <f t="shared" si="67"/>
        <v>0</v>
      </c>
      <c r="R146" s="55">
        <f t="shared" si="67"/>
        <v>2</v>
      </c>
      <c r="S146" s="55">
        <f t="shared" si="67"/>
        <v>0</v>
      </c>
      <c r="T146" s="55">
        <f t="shared" si="67"/>
        <v>6</v>
      </c>
      <c r="U146" s="40">
        <f t="shared" si="66"/>
        <v>31</v>
      </c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</row>
    <row r="147">
      <c r="A147" s="56"/>
      <c r="B147" s="57" t="s">
        <v>90</v>
      </c>
      <c r="C147" s="58">
        <f t="shared" ref="C147:U147" si="68">C138+C146</f>
        <v>299</v>
      </c>
      <c r="D147" s="58">
        <f t="shared" si="68"/>
        <v>108</v>
      </c>
      <c r="E147" s="58">
        <f t="shared" si="68"/>
        <v>2</v>
      </c>
      <c r="F147" s="58">
        <f t="shared" si="68"/>
        <v>409</v>
      </c>
      <c r="G147" s="58">
        <f t="shared" si="68"/>
        <v>7</v>
      </c>
      <c r="H147" s="58">
        <f t="shared" si="68"/>
        <v>3</v>
      </c>
      <c r="I147" s="58">
        <f t="shared" si="68"/>
        <v>2</v>
      </c>
      <c r="J147" s="58">
        <f t="shared" si="68"/>
        <v>1</v>
      </c>
      <c r="K147" s="58">
        <f t="shared" si="68"/>
        <v>0</v>
      </c>
      <c r="L147" s="58">
        <f t="shared" si="68"/>
        <v>6</v>
      </c>
      <c r="M147" s="58">
        <f t="shared" si="68"/>
        <v>0</v>
      </c>
      <c r="N147" s="58">
        <f t="shared" si="68"/>
        <v>4</v>
      </c>
      <c r="O147" s="58">
        <f t="shared" si="68"/>
        <v>9</v>
      </c>
      <c r="P147" s="58">
        <f t="shared" si="68"/>
        <v>209</v>
      </c>
      <c r="Q147" s="58">
        <f t="shared" si="68"/>
        <v>2</v>
      </c>
      <c r="R147" s="58">
        <f t="shared" si="68"/>
        <v>103</v>
      </c>
      <c r="S147" s="58">
        <f t="shared" si="68"/>
        <v>0</v>
      </c>
      <c r="T147" s="58">
        <f t="shared" si="68"/>
        <v>98</v>
      </c>
      <c r="U147" s="40">
        <f t="shared" si="68"/>
        <v>444</v>
      </c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</row>
    <row r="148">
      <c r="A148" s="46">
        <v>46039.0</v>
      </c>
      <c r="B148" s="47" t="s">
        <v>42</v>
      </c>
      <c r="C148" s="48"/>
      <c r="D148" s="48"/>
      <c r="E148" s="48"/>
      <c r="F148" s="49">
        <f t="shared" ref="F148:F154" si="69">SUM(C148:E148)</f>
        <v>0</v>
      </c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0">
        <f t="shared" ref="U148:U155" si="70">sum(G148:T148)</f>
        <v>0</v>
      </c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</row>
    <row r="149">
      <c r="A149" s="50"/>
      <c r="B149" s="47" t="s">
        <v>85</v>
      </c>
      <c r="C149" s="48"/>
      <c r="D149" s="48"/>
      <c r="E149" s="48"/>
      <c r="F149" s="49">
        <f t="shared" si="69"/>
        <v>0</v>
      </c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0">
        <f t="shared" si="70"/>
        <v>0</v>
      </c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</row>
    <row r="150">
      <c r="A150" s="50"/>
      <c r="B150" s="47" t="s">
        <v>36</v>
      </c>
      <c r="C150" s="48"/>
      <c r="D150" s="48"/>
      <c r="E150" s="48"/>
      <c r="F150" s="49">
        <f t="shared" si="69"/>
        <v>0</v>
      </c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0">
        <f t="shared" si="70"/>
        <v>0</v>
      </c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</row>
    <row r="151">
      <c r="A151" s="50"/>
      <c r="B151" s="47" t="s">
        <v>29</v>
      </c>
      <c r="C151" s="49">
        <v>6.0</v>
      </c>
      <c r="D151" s="49">
        <v>2.0</v>
      </c>
      <c r="E151" s="48"/>
      <c r="F151" s="49">
        <f t="shared" si="69"/>
        <v>8</v>
      </c>
      <c r="G151" s="48"/>
      <c r="H151" s="48"/>
      <c r="I151" s="48"/>
      <c r="J151" s="48"/>
      <c r="K151" s="48"/>
      <c r="L151" s="48"/>
      <c r="M151" s="48"/>
      <c r="N151" s="48"/>
      <c r="O151" s="48"/>
      <c r="P151" s="49">
        <v>8.0</v>
      </c>
      <c r="Q151" s="48"/>
      <c r="R151" s="48"/>
      <c r="S151" s="48"/>
      <c r="T151" s="48"/>
      <c r="U151" s="40">
        <f t="shared" si="70"/>
        <v>8</v>
      </c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</row>
    <row r="152">
      <c r="A152" s="50"/>
      <c r="B152" s="47" t="s">
        <v>86</v>
      </c>
      <c r="C152" s="49">
        <v>1.0</v>
      </c>
      <c r="D152" s="48"/>
      <c r="E152" s="48"/>
      <c r="F152" s="49">
        <f t="shared" si="69"/>
        <v>1</v>
      </c>
      <c r="G152" s="48"/>
      <c r="H152" s="48"/>
      <c r="I152" s="48"/>
      <c r="J152" s="48"/>
      <c r="K152" s="48"/>
      <c r="L152" s="48"/>
      <c r="M152" s="48"/>
      <c r="N152" s="48"/>
      <c r="O152" s="48"/>
      <c r="P152" s="49">
        <v>1.0</v>
      </c>
      <c r="Q152" s="48"/>
      <c r="R152" s="48"/>
      <c r="S152" s="48"/>
      <c r="T152" s="48"/>
      <c r="U152" s="51">
        <f t="shared" si="70"/>
        <v>1</v>
      </c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</row>
    <row r="153">
      <c r="A153" s="50"/>
      <c r="B153" s="52" t="s">
        <v>87</v>
      </c>
      <c r="C153" s="53"/>
      <c r="D153" s="53"/>
      <c r="E153" s="53"/>
      <c r="F153" s="54">
        <f t="shared" si="69"/>
        <v>0</v>
      </c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40">
        <f t="shared" si="70"/>
        <v>0</v>
      </c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</row>
    <row r="154">
      <c r="A154" s="50"/>
      <c r="B154" s="52" t="s">
        <v>88</v>
      </c>
      <c r="C154" s="53"/>
      <c r="D154" s="53"/>
      <c r="E154" s="53"/>
      <c r="F154" s="54">
        <f t="shared" si="69"/>
        <v>0</v>
      </c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40">
        <f t="shared" si="70"/>
        <v>0</v>
      </c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</row>
    <row r="155">
      <c r="A155" s="50"/>
      <c r="B155" s="55" t="s">
        <v>89</v>
      </c>
      <c r="C155" s="55">
        <f t="shared" ref="C155:T155" si="71">SUM(C148:C154)</f>
        <v>7</v>
      </c>
      <c r="D155" s="55">
        <f t="shared" si="71"/>
        <v>2</v>
      </c>
      <c r="E155" s="55">
        <f t="shared" si="71"/>
        <v>0</v>
      </c>
      <c r="F155" s="55">
        <f t="shared" si="71"/>
        <v>9</v>
      </c>
      <c r="G155" s="55">
        <f t="shared" si="71"/>
        <v>0</v>
      </c>
      <c r="H155" s="55">
        <f t="shared" si="71"/>
        <v>0</v>
      </c>
      <c r="I155" s="55">
        <f t="shared" si="71"/>
        <v>0</v>
      </c>
      <c r="J155" s="55">
        <f t="shared" si="71"/>
        <v>0</v>
      </c>
      <c r="K155" s="55">
        <f t="shared" si="71"/>
        <v>0</v>
      </c>
      <c r="L155" s="55">
        <f t="shared" si="71"/>
        <v>0</v>
      </c>
      <c r="M155" s="55">
        <f t="shared" si="71"/>
        <v>0</v>
      </c>
      <c r="N155" s="55">
        <f t="shared" si="71"/>
        <v>0</v>
      </c>
      <c r="O155" s="55">
        <f t="shared" si="71"/>
        <v>0</v>
      </c>
      <c r="P155" s="55">
        <f t="shared" si="71"/>
        <v>9</v>
      </c>
      <c r="Q155" s="55">
        <f t="shared" si="71"/>
        <v>0</v>
      </c>
      <c r="R155" s="55">
        <f t="shared" si="71"/>
        <v>0</v>
      </c>
      <c r="S155" s="55">
        <f t="shared" si="71"/>
        <v>0</v>
      </c>
      <c r="T155" s="55">
        <f t="shared" si="71"/>
        <v>0</v>
      </c>
      <c r="U155" s="40">
        <f t="shared" si="70"/>
        <v>9</v>
      </c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</row>
    <row r="156">
      <c r="A156" s="56"/>
      <c r="B156" s="57" t="s">
        <v>90</v>
      </c>
      <c r="C156" s="58">
        <f t="shared" ref="C156:U156" si="72">C147+C155</f>
        <v>306</v>
      </c>
      <c r="D156" s="58">
        <f t="shared" si="72"/>
        <v>110</v>
      </c>
      <c r="E156" s="58">
        <f t="shared" si="72"/>
        <v>2</v>
      </c>
      <c r="F156" s="58">
        <f t="shared" si="72"/>
        <v>418</v>
      </c>
      <c r="G156" s="58">
        <f t="shared" si="72"/>
        <v>7</v>
      </c>
      <c r="H156" s="58">
        <f t="shared" si="72"/>
        <v>3</v>
      </c>
      <c r="I156" s="58">
        <f t="shared" si="72"/>
        <v>2</v>
      </c>
      <c r="J156" s="58">
        <f t="shared" si="72"/>
        <v>1</v>
      </c>
      <c r="K156" s="58">
        <f t="shared" si="72"/>
        <v>0</v>
      </c>
      <c r="L156" s="58">
        <f t="shared" si="72"/>
        <v>6</v>
      </c>
      <c r="M156" s="58">
        <f t="shared" si="72"/>
        <v>0</v>
      </c>
      <c r="N156" s="58">
        <f t="shared" si="72"/>
        <v>4</v>
      </c>
      <c r="O156" s="58">
        <f t="shared" si="72"/>
        <v>9</v>
      </c>
      <c r="P156" s="58">
        <f t="shared" si="72"/>
        <v>218</v>
      </c>
      <c r="Q156" s="58">
        <f t="shared" si="72"/>
        <v>2</v>
      </c>
      <c r="R156" s="58">
        <f t="shared" si="72"/>
        <v>103</v>
      </c>
      <c r="S156" s="58">
        <f t="shared" si="72"/>
        <v>0</v>
      </c>
      <c r="T156" s="58">
        <f t="shared" si="72"/>
        <v>98</v>
      </c>
      <c r="U156" s="40">
        <f t="shared" si="72"/>
        <v>453</v>
      </c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</row>
    <row r="157">
      <c r="A157" s="46">
        <v>46040.0</v>
      </c>
      <c r="B157" s="47" t="s">
        <v>42</v>
      </c>
      <c r="C157" s="48"/>
      <c r="D157" s="48"/>
      <c r="E157" s="48"/>
      <c r="F157" s="49">
        <f t="shared" ref="F157:F163" si="73">SUM(C157:E157)</f>
        <v>0</v>
      </c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0">
        <f t="shared" ref="U157:U164" si="74">sum(G157:T157)</f>
        <v>0</v>
      </c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</row>
    <row r="158">
      <c r="A158" s="50"/>
      <c r="B158" s="47" t="s">
        <v>85</v>
      </c>
      <c r="C158" s="48"/>
      <c r="D158" s="48"/>
      <c r="E158" s="48"/>
      <c r="F158" s="49">
        <f t="shared" si="73"/>
        <v>0</v>
      </c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0">
        <f t="shared" si="74"/>
        <v>0</v>
      </c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</row>
    <row r="159">
      <c r="A159" s="50"/>
      <c r="B159" s="47" t="s">
        <v>36</v>
      </c>
      <c r="C159" s="48"/>
      <c r="D159" s="48"/>
      <c r="E159" s="48"/>
      <c r="F159" s="49">
        <f t="shared" si="73"/>
        <v>0</v>
      </c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0">
        <f t="shared" si="74"/>
        <v>0</v>
      </c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</row>
    <row r="160">
      <c r="A160" s="50"/>
      <c r="B160" s="47" t="s">
        <v>29</v>
      </c>
      <c r="C160" s="48"/>
      <c r="D160" s="48"/>
      <c r="E160" s="48"/>
      <c r="F160" s="49">
        <f t="shared" si="73"/>
        <v>0</v>
      </c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0">
        <f t="shared" si="74"/>
        <v>0</v>
      </c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</row>
    <row r="161">
      <c r="A161" s="50"/>
      <c r="B161" s="47" t="s">
        <v>86</v>
      </c>
      <c r="C161" s="48"/>
      <c r="D161" s="48"/>
      <c r="E161" s="48"/>
      <c r="F161" s="49">
        <f t="shared" si="73"/>
        <v>0</v>
      </c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51">
        <f t="shared" si="74"/>
        <v>0</v>
      </c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</row>
    <row r="162">
      <c r="A162" s="50"/>
      <c r="B162" s="52" t="s">
        <v>87</v>
      </c>
      <c r="C162" s="53"/>
      <c r="D162" s="53"/>
      <c r="E162" s="53"/>
      <c r="F162" s="54">
        <f t="shared" si="73"/>
        <v>0</v>
      </c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40">
        <f t="shared" si="74"/>
        <v>0</v>
      </c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</row>
    <row r="163">
      <c r="A163" s="50"/>
      <c r="B163" s="52" t="s">
        <v>88</v>
      </c>
      <c r="C163" s="53"/>
      <c r="D163" s="53"/>
      <c r="E163" s="53"/>
      <c r="F163" s="54">
        <f t="shared" si="73"/>
        <v>0</v>
      </c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40">
        <f t="shared" si="74"/>
        <v>0</v>
      </c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</row>
    <row r="164">
      <c r="A164" s="50"/>
      <c r="B164" s="55" t="s">
        <v>89</v>
      </c>
      <c r="C164" s="55">
        <f t="shared" ref="C164:T164" si="75">SUM(C157:C163)</f>
        <v>0</v>
      </c>
      <c r="D164" s="55">
        <f t="shared" si="75"/>
        <v>0</v>
      </c>
      <c r="E164" s="55">
        <f t="shared" si="75"/>
        <v>0</v>
      </c>
      <c r="F164" s="55">
        <f t="shared" si="75"/>
        <v>0</v>
      </c>
      <c r="G164" s="55">
        <f t="shared" si="75"/>
        <v>0</v>
      </c>
      <c r="H164" s="55">
        <f t="shared" si="75"/>
        <v>0</v>
      </c>
      <c r="I164" s="55">
        <f t="shared" si="75"/>
        <v>0</v>
      </c>
      <c r="J164" s="55">
        <f t="shared" si="75"/>
        <v>0</v>
      </c>
      <c r="K164" s="55">
        <f t="shared" si="75"/>
        <v>0</v>
      </c>
      <c r="L164" s="55">
        <f t="shared" si="75"/>
        <v>0</v>
      </c>
      <c r="M164" s="55">
        <f t="shared" si="75"/>
        <v>0</v>
      </c>
      <c r="N164" s="55">
        <f t="shared" si="75"/>
        <v>0</v>
      </c>
      <c r="O164" s="55">
        <f t="shared" si="75"/>
        <v>0</v>
      </c>
      <c r="P164" s="55">
        <f t="shared" si="75"/>
        <v>0</v>
      </c>
      <c r="Q164" s="55">
        <f t="shared" si="75"/>
        <v>0</v>
      </c>
      <c r="R164" s="55">
        <f t="shared" si="75"/>
        <v>0</v>
      </c>
      <c r="S164" s="55">
        <f t="shared" si="75"/>
        <v>0</v>
      </c>
      <c r="T164" s="55">
        <f t="shared" si="75"/>
        <v>0</v>
      </c>
      <c r="U164" s="40">
        <f t="shared" si="74"/>
        <v>0</v>
      </c>
      <c r="V164" s="61" t="s">
        <v>91</v>
      </c>
      <c r="W164" s="61" t="s">
        <v>75</v>
      </c>
      <c r="X164" s="61" t="s">
        <v>76</v>
      </c>
      <c r="Y164" s="61" t="s">
        <v>77</v>
      </c>
      <c r="Z164" s="61" t="s">
        <v>78</v>
      </c>
      <c r="AA164" s="61" t="s">
        <v>33</v>
      </c>
      <c r="AB164" s="61" t="s">
        <v>44</v>
      </c>
      <c r="AC164" s="61" t="s">
        <v>61</v>
      </c>
      <c r="AD164" s="61" t="s">
        <v>92</v>
      </c>
      <c r="AE164" s="61" t="s">
        <v>93</v>
      </c>
      <c r="AF164" s="61" t="s">
        <v>69</v>
      </c>
      <c r="AG164" s="61" t="s">
        <v>20</v>
      </c>
      <c r="AH164" s="61" t="s">
        <v>21</v>
      </c>
      <c r="AI164" s="62" t="s">
        <v>94</v>
      </c>
      <c r="AJ164" s="61" t="s">
        <v>23</v>
      </c>
      <c r="AK164" s="61" t="s">
        <v>55</v>
      </c>
      <c r="AL164" s="61" t="s">
        <v>82</v>
      </c>
      <c r="AM164" s="61" t="s">
        <v>24</v>
      </c>
      <c r="AN164" s="61" t="s">
        <v>95</v>
      </c>
    </row>
    <row r="165">
      <c r="A165" s="56"/>
      <c r="B165" s="57" t="s">
        <v>90</v>
      </c>
      <c r="C165" s="58">
        <f t="shared" ref="C165:U165" si="76">C156+C164</f>
        <v>306</v>
      </c>
      <c r="D165" s="58">
        <f t="shared" si="76"/>
        <v>110</v>
      </c>
      <c r="E165" s="58">
        <f t="shared" si="76"/>
        <v>2</v>
      </c>
      <c r="F165" s="58">
        <f t="shared" si="76"/>
        <v>418</v>
      </c>
      <c r="G165" s="58">
        <f t="shared" si="76"/>
        <v>7</v>
      </c>
      <c r="H165" s="58">
        <f t="shared" si="76"/>
        <v>3</v>
      </c>
      <c r="I165" s="58">
        <f t="shared" si="76"/>
        <v>2</v>
      </c>
      <c r="J165" s="58">
        <f t="shared" si="76"/>
        <v>1</v>
      </c>
      <c r="K165" s="58">
        <f t="shared" si="76"/>
        <v>0</v>
      </c>
      <c r="L165" s="58">
        <f t="shared" si="76"/>
        <v>6</v>
      </c>
      <c r="M165" s="58">
        <f t="shared" si="76"/>
        <v>0</v>
      </c>
      <c r="N165" s="58">
        <f t="shared" si="76"/>
        <v>4</v>
      </c>
      <c r="O165" s="58">
        <f t="shared" si="76"/>
        <v>9</v>
      </c>
      <c r="P165" s="58">
        <f t="shared" si="76"/>
        <v>218</v>
      </c>
      <c r="Q165" s="58">
        <f t="shared" si="76"/>
        <v>2</v>
      </c>
      <c r="R165" s="58">
        <f t="shared" si="76"/>
        <v>103</v>
      </c>
      <c r="S165" s="58">
        <f t="shared" si="76"/>
        <v>0</v>
      </c>
      <c r="T165" s="58">
        <f t="shared" si="76"/>
        <v>98</v>
      </c>
      <c r="U165" s="40">
        <f t="shared" si="76"/>
        <v>453</v>
      </c>
      <c r="V165" s="63" t="s">
        <v>98</v>
      </c>
      <c r="W165" s="64">
        <f t="shared" ref="W165:AN165" si="77">SUM(C103:C107,C112:C116,C121:C125,C130:C134,C139:C143,C148:C152,C157:C161)</f>
        <v>115</v>
      </c>
      <c r="X165" s="64">
        <f t="shared" si="77"/>
        <v>38</v>
      </c>
      <c r="Y165" s="64">
        <f t="shared" si="77"/>
        <v>2</v>
      </c>
      <c r="Z165" s="64">
        <f t="shared" si="77"/>
        <v>155</v>
      </c>
      <c r="AA165" s="64">
        <f t="shared" si="77"/>
        <v>2</v>
      </c>
      <c r="AB165" s="64">
        <f t="shared" si="77"/>
        <v>0</v>
      </c>
      <c r="AC165" s="64">
        <f t="shared" si="77"/>
        <v>1</v>
      </c>
      <c r="AD165" s="64">
        <f t="shared" si="77"/>
        <v>0</v>
      </c>
      <c r="AE165" s="64">
        <f t="shared" si="77"/>
        <v>0</v>
      </c>
      <c r="AF165" s="64">
        <f t="shared" si="77"/>
        <v>2</v>
      </c>
      <c r="AG165" s="64">
        <f t="shared" si="77"/>
        <v>0</v>
      </c>
      <c r="AH165" s="64">
        <f t="shared" si="77"/>
        <v>0</v>
      </c>
      <c r="AI165" s="64">
        <f t="shared" si="77"/>
        <v>5</v>
      </c>
      <c r="AJ165" s="64">
        <f t="shared" si="77"/>
        <v>87</v>
      </c>
      <c r="AK165" s="64">
        <f t="shared" si="77"/>
        <v>0</v>
      </c>
      <c r="AL165" s="64">
        <f t="shared" si="77"/>
        <v>33</v>
      </c>
      <c r="AM165" s="64">
        <f t="shared" si="77"/>
        <v>0</v>
      </c>
      <c r="AN165" s="64">
        <f t="shared" si="77"/>
        <v>28</v>
      </c>
    </row>
    <row r="166">
      <c r="A166" s="46">
        <v>46041.0</v>
      </c>
      <c r="B166" s="47" t="s">
        <v>42</v>
      </c>
      <c r="C166" s="49">
        <v>4.0</v>
      </c>
      <c r="D166" s="48"/>
      <c r="E166" s="48"/>
      <c r="F166" s="49">
        <f t="shared" ref="F166:F172" si="78">SUM(C166:E166)</f>
        <v>4</v>
      </c>
      <c r="G166" s="48"/>
      <c r="H166" s="48"/>
      <c r="I166" s="48"/>
      <c r="J166" s="48"/>
      <c r="K166" s="48"/>
      <c r="L166" s="49">
        <v>1.0</v>
      </c>
      <c r="M166" s="48"/>
      <c r="N166" s="48"/>
      <c r="O166" s="48"/>
      <c r="P166" s="49">
        <v>2.0</v>
      </c>
      <c r="Q166" s="48"/>
      <c r="R166" s="48"/>
      <c r="S166" s="48"/>
      <c r="T166" s="49">
        <v>1.0</v>
      </c>
      <c r="U166" s="40">
        <f t="shared" ref="U166:U173" si="79">sum(G166:T166)</f>
        <v>4</v>
      </c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</row>
    <row r="167">
      <c r="A167" s="50"/>
      <c r="B167" s="47" t="s">
        <v>85</v>
      </c>
      <c r="C167" s="48"/>
      <c r="D167" s="49">
        <v>2.0</v>
      </c>
      <c r="E167" s="48"/>
      <c r="F167" s="49">
        <f t="shared" si="78"/>
        <v>2</v>
      </c>
      <c r="G167" s="48"/>
      <c r="H167" s="48"/>
      <c r="I167" s="48"/>
      <c r="J167" s="48"/>
      <c r="K167" s="48"/>
      <c r="L167" s="48"/>
      <c r="M167" s="48"/>
      <c r="N167" s="48"/>
      <c r="O167" s="48"/>
      <c r="P167" s="49">
        <v>1.0</v>
      </c>
      <c r="Q167" s="48"/>
      <c r="R167" s="48"/>
      <c r="S167" s="48"/>
      <c r="T167" s="49">
        <v>1.0</v>
      </c>
      <c r="U167" s="40">
        <f t="shared" si="79"/>
        <v>2</v>
      </c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</row>
    <row r="168">
      <c r="A168" s="50"/>
      <c r="B168" s="47" t="s">
        <v>36</v>
      </c>
      <c r="C168" s="49">
        <v>1.0</v>
      </c>
      <c r="D168" s="49">
        <v>1.0</v>
      </c>
      <c r="E168" s="48"/>
      <c r="F168" s="49">
        <f t="shared" si="78"/>
        <v>2</v>
      </c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9">
        <v>2.0</v>
      </c>
      <c r="U168" s="40">
        <f t="shared" si="79"/>
        <v>2</v>
      </c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</row>
    <row r="169">
      <c r="A169" s="50"/>
      <c r="B169" s="47" t="s">
        <v>29</v>
      </c>
      <c r="C169" s="49">
        <v>9.0</v>
      </c>
      <c r="D169" s="49">
        <v>3.0</v>
      </c>
      <c r="E169" s="48"/>
      <c r="F169" s="49">
        <f t="shared" si="78"/>
        <v>12</v>
      </c>
      <c r="G169" s="48"/>
      <c r="H169" s="48"/>
      <c r="I169" s="48"/>
      <c r="J169" s="48"/>
      <c r="K169" s="48"/>
      <c r="L169" s="48"/>
      <c r="M169" s="48"/>
      <c r="N169" s="48"/>
      <c r="O169" s="48"/>
      <c r="P169" s="49">
        <v>12.0</v>
      </c>
      <c r="Q169" s="48"/>
      <c r="R169" s="48"/>
      <c r="S169" s="48"/>
      <c r="T169" s="48"/>
      <c r="U169" s="40">
        <f t="shared" si="79"/>
        <v>12</v>
      </c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</row>
    <row r="170">
      <c r="A170" s="50"/>
      <c r="B170" s="47" t="s">
        <v>86</v>
      </c>
      <c r="C170" s="49">
        <v>8.0</v>
      </c>
      <c r="D170" s="49">
        <v>1.0</v>
      </c>
      <c r="E170" s="48"/>
      <c r="F170" s="49">
        <f t="shared" si="78"/>
        <v>9</v>
      </c>
      <c r="G170" s="48"/>
      <c r="H170" s="48"/>
      <c r="I170" s="48"/>
      <c r="J170" s="48"/>
      <c r="K170" s="48"/>
      <c r="L170" s="48"/>
      <c r="M170" s="48"/>
      <c r="N170" s="48"/>
      <c r="O170" s="48"/>
      <c r="P170" s="49">
        <v>5.0</v>
      </c>
      <c r="Q170" s="48"/>
      <c r="R170" s="48"/>
      <c r="S170" s="49">
        <v>1.0</v>
      </c>
      <c r="T170" s="49">
        <v>3.0</v>
      </c>
      <c r="U170" s="51">
        <f t="shared" si="79"/>
        <v>9</v>
      </c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</row>
    <row r="171">
      <c r="A171" s="50"/>
      <c r="B171" s="52" t="s">
        <v>87</v>
      </c>
      <c r="C171" s="54">
        <v>5.0</v>
      </c>
      <c r="D171" s="54">
        <v>2.0</v>
      </c>
      <c r="E171" s="53"/>
      <c r="F171" s="54">
        <f t="shared" si="78"/>
        <v>7</v>
      </c>
      <c r="G171" s="53"/>
      <c r="H171" s="53"/>
      <c r="I171" s="53"/>
      <c r="J171" s="53"/>
      <c r="K171" s="53"/>
      <c r="L171" s="54">
        <v>5.0</v>
      </c>
      <c r="M171" s="53"/>
      <c r="N171" s="54">
        <v>1.0</v>
      </c>
      <c r="O171" s="53"/>
      <c r="P171" s="54">
        <v>1.0</v>
      </c>
      <c r="Q171" s="53"/>
      <c r="R171" s="54">
        <v>2.0</v>
      </c>
      <c r="S171" s="53"/>
      <c r="T171" s="54">
        <v>3.0</v>
      </c>
      <c r="U171" s="40">
        <f t="shared" si="79"/>
        <v>12</v>
      </c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</row>
    <row r="172">
      <c r="A172" s="50"/>
      <c r="B172" s="52" t="s">
        <v>88</v>
      </c>
      <c r="C172" s="54">
        <v>0.0</v>
      </c>
      <c r="D172" s="54">
        <v>0.0</v>
      </c>
      <c r="E172" s="53"/>
      <c r="F172" s="54">
        <f t="shared" si="78"/>
        <v>0</v>
      </c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40">
        <f t="shared" si="79"/>
        <v>0</v>
      </c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</row>
    <row r="173">
      <c r="A173" s="50"/>
      <c r="B173" s="55" t="s">
        <v>89</v>
      </c>
      <c r="C173" s="55">
        <f t="shared" ref="C173:T173" si="80">SUM(C166:C172)</f>
        <v>27</v>
      </c>
      <c r="D173" s="55">
        <f t="shared" si="80"/>
        <v>9</v>
      </c>
      <c r="E173" s="55">
        <f t="shared" si="80"/>
        <v>0</v>
      </c>
      <c r="F173" s="55">
        <f t="shared" si="80"/>
        <v>36</v>
      </c>
      <c r="G173" s="55">
        <f t="shared" si="80"/>
        <v>0</v>
      </c>
      <c r="H173" s="55">
        <f t="shared" si="80"/>
        <v>0</v>
      </c>
      <c r="I173" s="55">
        <f t="shared" si="80"/>
        <v>0</v>
      </c>
      <c r="J173" s="55">
        <f t="shared" si="80"/>
        <v>0</v>
      </c>
      <c r="K173" s="55">
        <f t="shared" si="80"/>
        <v>0</v>
      </c>
      <c r="L173" s="55">
        <f t="shared" si="80"/>
        <v>6</v>
      </c>
      <c r="M173" s="55">
        <f t="shared" si="80"/>
        <v>0</v>
      </c>
      <c r="N173" s="55">
        <f t="shared" si="80"/>
        <v>1</v>
      </c>
      <c r="O173" s="55">
        <f t="shared" si="80"/>
        <v>0</v>
      </c>
      <c r="P173" s="55">
        <f t="shared" si="80"/>
        <v>21</v>
      </c>
      <c r="Q173" s="55">
        <f t="shared" si="80"/>
        <v>0</v>
      </c>
      <c r="R173" s="55">
        <f t="shared" si="80"/>
        <v>2</v>
      </c>
      <c r="S173" s="55">
        <f t="shared" si="80"/>
        <v>1</v>
      </c>
      <c r="T173" s="55">
        <f t="shared" si="80"/>
        <v>10</v>
      </c>
      <c r="U173" s="40">
        <f t="shared" si="79"/>
        <v>41</v>
      </c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</row>
    <row r="174">
      <c r="A174" s="56"/>
      <c r="B174" s="57" t="s">
        <v>90</v>
      </c>
      <c r="C174" s="58">
        <f t="shared" ref="C174:U174" si="81">C165+C173</f>
        <v>333</v>
      </c>
      <c r="D174" s="58">
        <f t="shared" si="81"/>
        <v>119</v>
      </c>
      <c r="E174" s="58">
        <f t="shared" si="81"/>
        <v>2</v>
      </c>
      <c r="F174" s="58">
        <f t="shared" si="81"/>
        <v>454</v>
      </c>
      <c r="G174" s="58">
        <f t="shared" si="81"/>
        <v>7</v>
      </c>
      <c r="H174" s="58">
        <f t="shared" si="81"/>
        <v>3</v>
      </c>
      <c r="I174" s="58">
        <f t="shared" si="81"/>
        <v>2</v>
      </c>
      <c r="J174" s="58">
        <f t="shared" si="81"/>
        <v>1</v>
      </c>
      <c r="K174" s="58">
        <f t="shared" si="81"/>
        <v>0</v>
      </c>
      <c r="L174" s="58">
        <f t="shared" si="81"/>
        <v>12</v>
      </c>
      <c r="M174" s="58">
        <f t="shared" si="81"/>
        <v>0</v>
      </c>
      <c r="N174" s="58">
        <f t="shared" si="81"/>
        <v>5</v>
      </c>
      <c r="O174" s="58">
        <f t="shared" si="81"/>
        <v>9</v>
      </c>
      <c r="P174" s="58">
        <f t="shared" si="81"/>
        <v>239</v>
      </c>
      <c r="Q174" s="58">
        <f t="shared" si="81"/>
        <v>2</v>
      </c>
      <c r="R174" s="58">
        <f t="shared" si="81"/>
        <v>105</v>
      </c>
      <c r="S174" s="58">
        <f t="shared" si="81"/>
        <v>1</v>
      </c>
      <c r="T174" s="58">
        <f t="shared" si="81"/>
        <v>108</v>
      </c>
      <c r="U174" s="40">
        <f t="shared" si="81"/>
        <v>494</v>
      </c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</row>
    <row r="175">
      <c r="A175" s="46">
        <v>46042.0</v>
      </c>
      <c r="B175" s="47" t="s">
        <v>42</v>
      </c>
      <c r="C175" s="48"/>
      <c r="D175" s="48"/>
      <c r="E175" s="48"/>
      <c r="F175" s="49">
        <f t="shared" ref="F175:F181" si="82">SUM(C175:E175)</f>
        <v>0</v>
      </c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0">
        <f t="shared" ref="U175:U182" si="83">sum(G175:T175)</f>
        <v>0</v>
      </c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</row>
    <row r="176">
      <c r="A176" s="50"/>
      <c r="B176" s="47" t="s">
        <v>85</v>
      </c>
      <c r="C176" s="49">
        <v>13.0</v>
      </c>
      <c r="D176" s="49">
        <v>3.0</v>
      </c>
      <c r="E176" s="48"/>
      <c r="F176" s="49">
        <f t="shared" si="82"/>
        <v>16</v>
      </c>
      <c r="G176" s="48"/>
      <c r="H176" s="48"/>
      <c r="I176" s="48"/>
      <c r="J176" s="48"/>
      <c r="K176" s="48"/>
      <c r="L176" s="48"/>
      <c r="M176" s="48"/>
      <c r="N176" s="48"/>
      <c r="O176" s="48"/>
      <c r="P176" s="49">
        <v>13.0</v>
      </c>
      <c r="Q176" s="48"/>
      <c r="R176" s="48"/>
      <c r="S176" s="48"/>
      <c r="T176" s="49">
        <v>3.0</v>
      </c>
      <c r="U176" s="40">
        <f t="shared" si="83"/>
        <v>16</v>
      </c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</row>
    <row r="177">
      <c r="A177" s="50"/>
      <c r="B177" s="47" t="s">
        <v>36</v>
      </c>
      <c r="C177" s="49">
        <v>2.0</v>
      </c>
      <c r="D177" s="60">
        <v>5.0</v>
      </c>
      <c r="E177" s="48"/>
      <c r="F177" s="49">
        <f t="shared" si="82"/>
        <v>7</v>
      </c>
      <c r="G177" s="48"/>
      <c r="H177" s="49">
        <v>1.0</v>
      </c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9">
        <v>6.0</v>
      </c>
      <c r="U177" s="40">
        <f t="shared" si="83"/>
        <v>7</v>
      </c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</row>
    <row r="178">
      <c r="A178" s="50"/>
      <c r="B178" s="47" t="s">
        <v>29</v>
      </c>
      <c r="C178" s="49">
        <v>1.0</v>
      </c>
      <c r="D178" s="48"/>
      <c r="E178" s="48"/>
      <c r="F178" s="49">
        <f t="shared" si="82"/>
        <v>1</v>
      </c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9">
        <v>1.0</v>
      </c>
      <c r="U178" s="40">
        <f t="shared" si="83"/>
        <v>1</v>
      </c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</row>
    <row r="179">
      <c r="A179" s="50"/>
      <c r="B179" s="47" t="s">
        <v>86</v>
      </c>
      <c r="C179" s="49">
        <v>4.0</v>
      </c>
      <c r="D179" s="48"/>
      <c r="E179" s="48"/>
      <c r="F179" s="49">
        <f t="shared" si="82"/>
        <v>4</v>
      </c>
      <c r="G179" s="48"/>
      <c r="H179" s="48"/>
      <c r="I179" s="48"/>
      <c r="J179" s="48"/>
      <c r="K179" s="48"/>
      <c r="L179" s="48"/>
      <c r="M179" s="48"/>
      <c r="N179" s="48"/>
      <c r="O179" s="48"/>
      <c r="P179" s="49">
        <v>1.0</v>
      </c>
      <c r="Q179" s="48"/>
      <c r="R179" s="49">
        <v>1.0</v>
      </c>
      <c r="S179" s="49">
        <v>2.0</v>
      </c>
      <c r="T179" s="48"/>
      <c r="U179" s="51">
        <f t="shared" si="83"/>
        <v>4</v>
      </c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</row>
    <row r="180">
      <c r="A180" s="50"/>
      <c r="B180" s="52" t="s">
        <v>87</v>
      </c>
      <c r="C180" s="54">
        <v>5.0</v>
      </c>
      <c r="D180" s="54">
        <v>1.0</v>
      </c>
      <c r="E180" s="53"/>
      <c r="F180" s="54">
        <f t="shared" si="82"/>
        <v>6</v>
      </c>
      <c r="G180" s="53"/>
      <c r="H180" s="53"/>
      <c r="I180" s="53"/>
      <c r="J180" s="53"/>
      <c r="K180" s="53"/>
      <c r="L180" s="54">
        <v>4.0</v>
      </c>
      <c r="M180" s="53"/>
      <c r="N180" s="53"/>
      <c r="O180" s="53"/>
      <c r="P180" s="53"/>
      <c r="Q180" s="54">
        <v>1.0</v>
      </c>
      <c r="R180" s="53"/>
      <c r="S180" s="53"/>
      <c r="T180" s="54">
        <v>4.0</v>
      </c>
      <c r="U180" s="40">
        <f t="shared" si="83"/>
        <v>9</v>
      </c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</row>
    <row r="181">
      <c r="A181" s="50"/>
      <c r="B181" s="52" t="s">
        <v>88</v>
      </c>
      <c r="C181" s="54">
        <v>0.0</v>
      </c>
      <c r="D181" s="54">
        <v>0.0</v>
      </c>
      <c r="E181" s="53"/>
      <c r="F181" s="54">
        <f t="shared" si="82"/>
        <v>0</v>
      </c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40">
        <f t="shared" si="83"/>
        <v>0</v>
      </c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</row>
    <row r="182">
      <c r="A182" s="50"/>
      <c r="B182" s="55" t="s">
        <v>89</v>
      </c>
      <c r="C182" s="55">
        <f t="shared" ref="C182:T182" si="84">SUM(C175:C181)</f>
        <v>25</v>
      </c>
      <c r="D182" s="55">
        <f t="shared" si="84"/>
        <v>9</v>
      </c>
      <c r="E182" s="55">
        <f t="shared" si="84"/>
        <v>0</v>
      </c>
      <c r="F182" s="55">
        <f t="shared" si="84"/>
        <v>34</v>
      </c>
      <c r="G182" s="55">
        <f t="shared" si="84"/>
        <v>0</v>
      </c>
      <c r="H182" s="55">
        <f t="shared" si="84"/>
        <v>1</v>
      </c>
      <c r="I182" s="55">
        <f t="shared" si="84"/>
        <v>0</v>
      </c>
      <c r="J182" s="55">
        <f t="shared" si="84"/>
        <v>0</v>
      </c>
      <c r="K182" s="55">
        <f t="shared" si="84"/>
        <v>0</v>
      </c>
      <c r="L182" s="55">
        <f t="shared" si="84"/>
        <v>4</v>
      </c>
      <c r="M182" s="55">
        <f t="shared" si="84"/>
        <v>0</v>
      </c>
      <c r="N182" s="55">
        <f t="shared" si="84"/>
        <v>0</v>
      </c>
      <c r="O182" s="55">
        <f t="shared" si="84"/>
        <v>0</v>
      </c>
      <c r="P182" s="55">
        <f t="shared" si="84"/>
        <v>14</v>
      </c>
      <c r="Q182" s="55">
        <f t="shared" si="84"/>
        <v>1</v>
      </c>
      <c r="R182" s="55">
        <f t="shared" si="84"/>
        <v>1</v>
      </c>
      <c r="S182" s="55">
        <f t="shared" si="84"/>
        <v>2</v>
      </c>
      <c r="T182" s="55">
        <f t="shared" si="84"/>
        <v>14</v>
      </c>
      <c r="U182" s="40">
        <f t="shared" si="83"/>
        <v>37</v>
      </c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</row>
    <row r="183">
      <c r="A183" s="56"/>
      <c r="B183" s="57" t="s">
        <v>90</v>
      </c>
      <c r="C183" s="58">
        <f t="shared" ref="C183:U183" si="85">C174+C182</f>
        <v>358</v>
      </c>
      <c r="D183" s="58">
        <f t="shared" si="85"/>
        <v>128</v>
      </c>
      <c r="E183" s="58">
        <f t="shared" si="85"/>
        <v>2</v>
      </c>
      <c r="F183" s="58">
        <f t="shared" si="85"/>
        <v>488</v>
      </c>
      <c r="G183" s="58">
        <f t="shared" si="85"/>
        <v>7</v>
      </c>
      <c r="H183" s="58">
        <f t="shared" si="85"/>
        <v>4</v>
      </c>
      <c r="I183" s="58">
        <f t="shared" si="85"/>
        <v>2</v>
      </c>
      <c r="J183" s="58">
        <f t="shared" si="85"/>
        <v>1</v>
      </c>
      <c r="K183" s="58">
        <f t="shared" si="85"/>
        <v>0</v>
      </c>
      <c r="L183" s="58">
        <f t="shared" si="85"/>
        <v>16</v>
      </c>
      <c r="M183" s="58">
        <f t="shared" si="85"/>
        <v>0</v>
      </c>
      <c r="N183" s="58">
        <f t="shared" si="85"/>
        <v>5</v>
      </c>
      <c r="O183" s="58">
        <f t="shared" si="85"/>
        <v>9</v>
      </c>
      <c r="P183" s="58">
        <f t="shared" si="85"/>
        <v>253</v>
      </c>
      <c r="Q183" s="58">
        <f t="shared" si="85"/>
        <v>3</v>
      </c>
      <c r="R183" s="58">
        <f t="shared" si="85"/>
        <v>106</v>
      </c>
      <c r="S183" s="58">
        <f t="shared" si="85"/>
        <v>3</v>
      </c>
      <c r="T183" s="58">
        <f t="shared" si="85"/>
        <v>122</v>
      </c>
      <c r="U183" s="40">
        <f t="shared" si="85"/>
        <v>531</v>
      </c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</row>
    <row r="184">
      <c r="A184" s="46">
        <v>46043.0</v>
      </c>
      <c r="B184" s="47" t="s">
        <v>42</v>
      </c>
      <c r="C184" s="49" t="s">
        <v>99</v>
      </c>
      <c r="D184" s="49" t="s">
        <v>99</v>
      </c>
      <c r="E184" s="49" t="s">
        <v>100</v>
      </c>
      <c r="F184" s="49">
        <f t="shared" ref="F184:F190" si="86">SUM(C184:E184)</f>
        <v>0</v>
      </c>
      <c r="G184" s="48"/>
      <c r="H184" s="48"/>
      <c r="I184" s="48"/>
      <c r="J184" s="48"/>
      <c r="K184" s="48"/>
      <c r="L184" s="49" t="s">
        <v>99</v>
      </c>
      <c r="M184" s="48"/>
      <c r="N184" s="48"/>
      <c r="O184" s="48"/>
      <c r="P184" s="49" t="s">
        <v>99</v>
      </c>
      <c r="Q184" s="48"/>
      <c r="R184" s="48"/>
      <c r="S184" s="48"/>
      <c r="T184" s="48"/>
      <c r="U184" s="40">
        <f t="shared" ref="U184:U191" si="87">sum(G184:T184)</f>
        <v>0</v>
      </c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</row>
    <row r="185">
      <c r="A185" s="50"/>
      <c r="B185" s="47" t="s">
        <v>85</v>
      </c>
      <c r="C185" s="49">
        <v>10.0</v>
      </c>
      <c r="D185" s="49">
        <v>4.0</v>
      </c>
      <c r="E185" s="48"/>
      <c r="F185" s="49">
        <f t="shared" si="86"/>
        <v>14</v>
      </c>
      <c r="G185" s="48"/>
      <c r="H185" s="48"/>
      <c r="I185" s="48"/>
      <c r="J185" s="48"/>
      <c r="K185" s="48"/>
      <c r="L185" s="48"/>
      <c r="M185" s="48"/>
      <c r="N185" s="48"/>
      <c r="O185" s="48"/>
      <c r="P185" s="49">
        <v>12.0</v>
      </c>
      <c r="Q185" s="48"/>
      <c r="R185" s="48"/>
      <c r="S185" s="48"/>
      <c r="T185" s="49">
        <v>2.0</v>
      </c>
      <c r="U185" s="40">
        <f t="shared" si="87"/>
        <v>14</v>
      </c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</row>
    <row r="186">
      <c r="A186" s="50"/>
      <c r="B186" s="47" t="s">
        <v>36</v>
      </c>
      <c r="C186" s="49">
        <v>1.0</v>
      </c>
      <c r="D186" s="48"/>
      <c r="E186" s="48"/>
      <c r="F186" s="49">
        <f t="shared" si="86"/>
        <v>1</v>
      </c>
      <c r="G186" s="48"/>
      <c r="H186" s="48"/>
      <c r="I186" s="48"/>
      <c r="J186" s="48"/>
      <c r="K186" s="48"/>
      <c r="L186" s="49">
        <v>1.0</v>
      </c>
      <c r="M186" s="48"/>
      <c r="N186" s="48"/>
      <c r="O186" s="48"/>
      <c r="P186" s="48"/>
      <c r="Q186" s="48"/>
      <c r="R186" s="48"/>
      <c r="S186" s="48"/>
      <c r="T186" s="48"/>
      <c r="U186" s="40">
        <f t="shared" si="87"/>
        <v>1</v>
      </c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</row>
    <row r="187">
      <c r="A187" s="50"/>
      <c r="B187" s="47" t="s">
        <v>29</v>
      </c>
      <c r="C187" s="48"/>
      <c r="D187" s="48"/>
      <c r="E187" s="48"/>
      <c r="F187" s="49">
        <f t="shared" si="86"/>
        <v>0</v>
      </c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0">
        <f t="shared" si="87"/>
        <v>0</v>
      </c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</row>
    <row r="188">
      <c r="A188" s="50"/>
      <c r="B188" s="47" t="s">
        <v>86</v>
      </c>
      <c r="C188" s="49">
        <v>3.0</v>
      </c>
      <c r="D188" s="48"/>
      <c r="E188" s="48"/>
      <c r="F188" s="49">
        <f t="shared" si="86"/>
        <v>3</v>
      </c>
      <c r="G188" s="48"/>
      <c r="H188" s="48"/>
      <c r="I188" s="48"/>
      <c r="J188" s="48"/>
      <c r="K188" s="48"/>
      <c r="L188" s="48"/>
      <c r="M188" s="48"/>
      <c r="N188" s="48"/>
      <c r="O188" s="49">
        <v>1.0</v>
      </c>
      <c r="P188" s="49">
        <v>2.0</v>
      </c>
      <c r="Q188" s="48"/>
      <c r="R188" s="48"/>
      <c r="S188" s="48"/>
      <c r="T188" s="48"/>
      <c r="U188" s="51">
        <f t="shared" si="87"/>
        <v>3</v>
      </c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</row>
    <row r="189">
      <c r="A189" s="50"/>
      <c r="B189" s="52" t="s">
        <v>87</v>
      </c>
      <c r="C189" s="54">
        <v>1.0</v>
      </c>
      <c r="D189" s="54">
        <v>2.0</v>
      </c>
      <c r="E189" s="53"/>
      <c r="F189" s="54">
        <f t="shared" si="86"/>
        <v>3</v>
      </c>
      <c r="G189" s="53"/>
      <c r="H189" s="53"/>
      <c r="I189" s="53"/>
      <c r="J189" s="53"/>
      <c r="K189" s="53"/>
      <c r="L189" s="53"/>
      <c r="M189" s="53"/>
      <c r="N189" s="53"/>
      <c r="O189" s="53"/>
      <c r="P189" s="54">
        <v>1.0</v>
      </c>
      <c r="Q189" s="53"/>
      <c r="R189" s="54">
        <v>1.0</v>
      </c>
      <c r="S189" s="53"/>
      <c r="T189" s="54">
        <v>2.0</v>
      </c>
      <c r="U189" s="40">
        <f t="shared" si="87"/>
        <v>4</v>
      </c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</row>
    <row r="190">
      <c r="A190" s="50"/>
      <c r="B190" s="52" t="s">
        <v>88</v>
      </c>
      <c r="C190" s="54">
        <v>0.0</v>
      </c>
      <c r="D190" s="54">
        <v>0.0</v>
      </c>
      <c r="E190" s="53"/>
      <c r="F190" s="54">
        <f t="shared" si="86"/>
        <v>0</v>
      </c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40">
        <f t="shared" si="87"/>
        <v>0</v>
      </c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</row>
    <row r="191">
      <c r="A191" s="50"/>
      <c r="B191" s="55" t="s">
        <v>89</v>
      </c>
      <c r="C191" s="55">
        <f t="shared" ref="C191:T191" si="88">SUM(C184:C190)</f>
        <v>15</v>
      </c>
      <c r="D191" s="55">
        <f t="shared" si="88"/>
        <v>6</v>
      </c>
      <c r="E191" s="55">
        <f t="shared" si="88"/>
        <v>0</v>
      </c>
      <c r="F191" s="55">
        <f t="shared" si="88"/>
        <v>21</v>
      </c>
      <c r="G191" s="55">
        <f t="shared" si="88"/>
        <v>0</v>
      </c>
      <c r="H191" s="55">
        <f t="shared" si="88"/>
        <v>0</v>
      </c>
      <c r="I191" s="55">
        <f t="shared" si="88"/>
        <v>0</v>
      </c>
      <c r="J191" s="55">
        <f t="shared" si="88"/>
        <v>0</v>
      </c>
      <c r="K191" s="55">
        <f t="shared" si="88"/>
        <v>0</v>
      </c>
      <c r="L191" s="55">
        <f t="shared" si="88"/>
        <v>1</v>
      </c>
      <c r="M191" s="55">
        <f t="shared" si="88"/>
        <v>0</v>
      </c>
      <c r="N191" s="55">
        <f t="shared" si="88"/>
        <v>0</v>
      </c>
      <c r="O191" s="55">
        <f t="shared" si="88"/>
        <v>1</v>
      </c>
      <c r="P191" s="55">
        <f t="shared" si="88"/>
        <v>15</v>
      </c>
      <c r="Q191" s="55">
        <f t="shared" si="88"/>
        <v>0</v>
      </c>
      <c r="R191" s="55">
        <f t="shared" si="88"/>
        <v>1</v>
      </c>
      <c r="S191" s="55">
        <f t="shared" si="88"/>
        <v>0</v>
      </c>
      <c r="T191" s="55">
        <f t="shared" si="88"/>
        <v>4</v>
      </c>
      <c r="U191" s="40">
        <f t="shared" si="87"/>
        <v>22</v>
      </c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</row>
    <row r="192">
      <c r="A192" s="56"/>
      <c r="B192" s="57" t="s">
        <v>90</v>
      </c>
      <c r="C192" s="58">
        <f t="shared" ref="C192:U192" si="89">C183+C191</f>
        <v>373</v>
      </c>
      <c r="D192" s="58">
        <f t="shared" si="89"/>
        <v>134</v>
      </c>
      <c r="E192" s="58">
        <f t="shared" si="89"/>
        <v>2</v>
      </c>
      <c r="F192" s="58">
        <f t="shared" si="89"/>
        <v>509</v>
      </c>
      <c r="G192" s="58">
        <f t="shared" si="89"/>
        <v>7</v>
      </c>
      <c r="H192" s="58">
        <f t="shared" si="89"/>
        <v>4</v>
      </c>
      <c r="I192" s="58">
        <f t="shared" si="89"/>
        <v>2</v>
      </c>
      <c r="J192" s="58">
        <f t="shared" si="89"/>
        <v>1</v>
      </c>
      <c r="K192" s="58">
        <f t="shared" si="89"/>
        <v>0</v>
      </c>
      <c r="L192" s="58">
        <f t="shared" si="89"/>
        <v>17</v>
      </c>
      <c r="M192" s="58">
        <f t="shared" si="89"/>
        <v>0</v>
      </c>
      <c r="N192" s="58">
        <f t="shared" si="89"/>
        <v>5</v>
      </c>
      <c r="O192" s="58">
        <f t="shared" si="89"/>
        <v>10</v>
      </c>
      <c r="P192" s="58">
        <f t="shared" si="89"/>
        <v>268</v>
      </c>
      <c r="Q192" s="58">
        <f t="shared" si="89"/>
        <v>3</v>
      </c>
      <c r="R192" s="58">
        <f t="shared" si="89"/>
        <v>107</v>
      </c>
      <c r="S192" s="58">
        <f t="shared" si="89"/>
        <v>3</v>
      </c>
      <c r="T192" s="58">
        <f t="shared" si="89"/>
        <v>126</v>
      </c>
      <c r="U192" s="40">
        <f t="shared" si="89"/>
        <v>553</v>
      </c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</row>
    <row r="193">
      <c r="A193" s="46">
        <v>46044.0</v>
      </c>
      <c r="B193" s="47" t="s">
        <v>42</v>
      </c>
      <c r="C193" s="49" t="s">
        <v>100</v>
      </c>
      <c r="D193" s="49" t="s">
        <v>100</v>
      </c>
      <c r="E193" s="49" t="s">
        <v>100</v>
      </c>
      <c r="F193" s="49">
        <f t="shared" ref="F193:F199" si="90">SUM(C193:E193)</f>
        <v>0</v>
      </c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0">
        <f t="shared" ref="U193:U200" si="91">sum(G193:T193)</f>
        <v>0</v>
      </c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</row>
    <row r="194">
      <c r="A194" s="50"/>
      <c r="B194" s="47" t="s">
        <v>85</v>
      </c>
      <c r="C194" s="48"/>
      <c r="D194" s="49">
        <v>2.0</v>
      </c>
      <c r="E194" s="48"/>
      <c r="F194" s="49">
        <f t="shared" si="90"/>
        <v>2</v>
      </c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9">
        <v>2.0</v>
      </c>
      <c r="U194" s="40">
        <f t="shared" si="91"/>
        <v>2</v>
      </c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</row>
    <row r="195">
      <c r="A195" s="50"/>
      <c r="B195" s="47" t="s">
        <v>36</v>
      </c>
      <c r="C195" s="49">
        <v>1.0</v>
      </c>
      <c r="D195" s="49">
        <v>1.0</v>
      </c>
      <c r="E195" s="48"/>
      <c r="F195" s="49">
        <f t="shared" si="90"/>
        <v>2</v>
      </c>
      <c r="G195" s="49">
        <v>1.0</v>
      </c>
      <c r="H195" s="48"/>
      <c r="I195" s="48"/>
      <c r="J195" s="48"/>
      <c r="K195" s="48"/>
      <c r="L195" s="48"/>
      <c r="M195" s="48"/>
      <c r="N195" s="48"/>
      <c r="O195" s="49">
        <v>1.0</v>
      </c>
      <c r="P195" s="49">
        <v>0.0</v>
      </c>
      <c r="Q195" s="48"/>
      <c r="R195" s="48"/>
      <c r="S195" s="48"/>
      <c r="T195" s="49">
        <v>1.0</v>
      </c>
      <c r="U195" s="40">
        <f t="shared" si="91"/>
        <v>3</v>
      </c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</row>
    <row r="196">
      <c r="A196" s="50"/>
      <c r="B196" s="47" t="s">
        <v>29</v>
      </c>
      <c r="C196" s="49">
        <v>22.0</v>
      </c>
      <c r="D196" s="49">
        <v>10.0</v>
      </c>
      <c r="E196" s="48"/>
      <c r="F196" s="49">
        <f t="shared" si="90"/>
        <v>32</v>
      </c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9">
        <v>31.0</v>
      </c>
      <c r="S196" s="48"/>
      <c r="T196" s="49">
        <v>1.0</v>
      </c>
      <c r="U196" s="40">
        <f t="shared" si="91"/>
        <v>32</v>
      </c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</row>
    <row r="197">
      <c r="A197" s="50"/>
      <c r="B197" s="47" t="s">
        <v>86</v>
      </c>
      <c r="C197" s="49">
        <v>6.0</v>
      </c>
      <c r="D197" s="49">
        <v>5.0</v>
      </c>
      <c r="E197" s="48"/>
      <c r="F197" s="49">
        <f t="shared" si="90"/>
        <v>11</v>
      </c>
      <c r="G197" s="48"/>
      <c r="H197" s="48"/>
      <c r="I197" s="48"/>
      <c r="J197" s="48"/>
      <c r="K197" s="48"/>
      <c r="L197" s="48"/>
      <c r="M197" s="48"/>
      <c r="N197" s="48"/>
      <c r="O197" s="48"/>
      <c r="P197" s="49">
        <v>11.0</v>
      </c>
      <c r="Q197" s="48"/>
      <c r="R197" s="48"/>
      <c r="S197" s="48"/>
      <c r="T197" s="48"/>
      <c r="U197" s="51">
        <f t="shared" si="91"/>
        <v>11</v>
      </c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</row>
    <row r="198">
      <c r="A198" s="50"/>
      <c r="B198" s="52" t="s">
        <v>87</v>
      </c>
      <c r="C198" s="54">
        <v>1.0</v>
      </c>
      <c r="D198" s="54">
        <v>1.0</v>
      </c>
      <c r="E198" s="53"/>
      <c r="F198" s="54">
        <f t="shared" si="90"/>
        <v>2</v>
      </c>
      <c r="G198" s="53"/>
      <c r="H198" s="53"/>
      <c r="I198" s="53"/>
      <c r="J198" s="53"/>
      <c r="K198" s="53"/>
      <c r="L198" s="53"/>
      <c r="M198" s="53"/>
      <c r="N198" s="53"/>
      <c r="O198" s="53"/>
      <c r="P198" s="54">
        <v>1.0</v>
      </c>
      <c r="Q198" s="54">
        <v>1.0</v>
      </c>
      <c r="R198" s="53"/>
      <c r="S198" s="53"/>
      <c r="T198" s="54">
        <v>3.0</v>
      </c>
      <c r="U198" s="40">
        <f t="shared" si="91"/>
        <v>5</v>
      </c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</row>
    <row r="199">
      <c r="A199" s="50"/>
      <c r="B199" s="52" t="s">
        <v>88</v>
      </c>
      <c r="C199" s="54">
        <v>0.0</v>
      </c>
      <c r="D199" s="54">
        <v>0.0</v>
      </c>
      <c r="E199" s="53"/>
      <c r="F199" s="54">
        <f t="shared" si="90"/>
        <v>0</v>
      </c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40">
        <f t="shared" si="91"/>
        <v>0</v>
      </c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</row>
    <row r="200">
      <c r="A200" s="50"/>
      <c r="B200" s="55" t="s">
        <v>89</v>
      </c>
      <c r="C200" s="55">
        <f t="shared" ref="C200:T200" si="92">SUM(C193:C199)</f>
        <v>30</v>
      </c>
      <c r="D200" s="55">
        <f t="shared" si="92"/>
        <v>19</v>
      </c>
      <c r="E200" s="55">
        <f t="shared" si="92"/>
        <v>0</v>
      </c>
      <c r="F200" s="55">
        <f t="shared" si="92"/>
        <v>49</v>
      </c>
      <c r="G200" s="55">
        <f t="shared" si="92"/>
        <v>1</v>
      </c>
      <c r="H200" s="55">
        <f t="shared" si="92"/>
        <v>0</v>
      </c>
      <c r="I200" s="55">
        <f t="shared" si="92"/>
        <v>0</v>
      </c>
      <c r="J200" s="55">
        <f t="shared" si="92"/>
        <v>0</v>
      </c>
      <c r="K200" s="55">
        <f t="shared" si="92"/>
        <v>0</v>
      </c>
      <c r="L200" s="55">
        <f t="shared" si="92"/>
        <v>0</v>
      </c>
      <c r="M200" s="55">
        <f t="shared" si="92"/>
        <v>0</v>
      </c>
      <c r="N200" s="55">
        <f t="shared" si="92"/>
        <v>0</v>
      </c>
      <c r="O200" s="55">
        <f t="shared" si="92"/>
        <v>1</v>
      </c>
      <c r="P200" s="55">
        <f t="shared" si="92"/>
        <v>12</v>
      </c>
      <c r="Q200" s="55">
        <f t="shared" si="92"/>
        <v>1</v>
      </c>
      <c r="R200" s="55">
        <f t="shared" si="92"/>
        <v>31</v>
      </c>
      <c r="S200" s="55">
        <f t="shared" si="92"/>
        <v>0</v>
      </c>
      <c r="T200" s="55">
        <f t="shared" si="92"/>
        <v>7</v>
      </c>
      <c r="U200" s="40">
        <f t="shared" si="91"/>
        <v>53</v>
      </c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</row>
    <row r="201">
      <c r="A201" s="56"/>
      <c r="B201" s="57" t="s">
        <v>90</v>
      </c>
      <c r="C201" s="58">
        <f t="shared" ref="C201:U201" si="93">C192+C200</f>
        <v>403</v>
      </c>
      <c r="D201" s="58">
        <f t="shared" si="93"/>
        <v>153</v>
      </c>
      <c r="E201" s="58">
        <f t="shared" si="93"/>
        <v>2</v>
      </c>
      <c r="F201" s="58">
        <f t="shared" si="93"/>
        <v>558</v>
      </c>
      <c r="G201" s="58">
        <f t="shared" si="93"/>
        <v>8</v>
      </c>
      <c r="H201" s="58">
        <f t="shared" si="93"/>
        <v>4</v>
      </c>
      <c r="I201" s="58">
        <f t="shared" si="93"/>
        <v>2</v>
      </c>
      <c r="J201" s="58">
        <f t="shared" si="93"/>
        <v>1</v>
      </c>
      <c r="K201" s="58">
        <f t="shared" si="93"/>
        <v>0</v>
      </c>
      <c r="L201" s="58">
        <f t="shared" si="93"/>
        <v>17</v>
      </c>
      <c r="M201" s="58">
        <f t="shared" si="93"/>
        <v>0</v>
      </c>
      <c r="N201" s="58">
        <f t="shared" si="93"/>
        <v>5</v>
      </c>
      <c r="O201" s="58">
        <f t="shared" si="93"/>
        <v>11</v>
      </c>
      <c r="P201" s="58">
        <f t="shared" si="93"/>
        <v>280</v>
      </c>
      <c r="Q201" s="58">
        <f t="shared" si="93"/>
        <v>4</v>
      </c>
      <c r="R201" s="58">
        <f t="shared" si="93"/>
        <v>138</v>
      </c>
      <c r="S201" s="58">
        <f t="shared" si="93"/>
        <v>3</v>
      </c>
      <c r="T201" s="58">
        <f t="shared" si="93"/>
        <v>133</v>
      </c>
      <c r="U201" s="40">
        <f t="shared" si="93"/>
        <v>606</v>
      </c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</row>
    <row r="202">
      <c r="A202" s="46">
        <v>46045.0</v>
      </c>
      <c r="B202" s="47" t="s">
        <v>42</v>
      </c>
      <c r="C202" s="49">
        <v>1.0</v>
      </c>
      <c r="D202" s="49">
        <v>1.0</v>
      </c>
      <c r="E202" s="48"/>
      <c r="F202" s="49">
        <f t="shared" ref="F202:F208" si="94">SUM(C202:E202)</f>
        <v>2</v>
      </c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9">
        <v>1.0</v>
      </c>
      <c r="R202" s="48"/>
      <c r="S202" s="48"/>
      <c r="T202" s="49">
        <v>1.0</v>
      </c>
      <c r="U202" s="40">
        <f t="shared" ref="U202:U209" si="95">sum(G202:T202)</f>
        <v>2</v>
      </c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</row>
    <row r="203">
      <c r="A203" s="50"/>
      <c r="B203" s="47" t="s">
        <v>85</v>
      </c>
      <c r="C203" s="48"/>
      <c r="D203" s="48"/>
      <c r="E203" s="48"/>
      <c r="F203" s="49">
        <f t="shared" si="94"/>
        <v>0</v>
      </c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0">
        <f t="shared" si="95"/>
        <v>0</v>
      </c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</row>
    <row r="204">
      <c r="A204" s="50"/>
      <c r="B204" s="47" t="s">
        <v>36</v>
      </c>
      <c r="C204" s="49">
        <v>14.0</v>
      </c>
      <c r="D204" s="49">
        <v>5.0</v>
      </c>
      <c r="E204" s="48"/>
      <c r="F204" s="49">
        <f t="shared" si="94"/>
        <v>19</v>
      </c>
      <c r="G204" s="48"/>
      <c r="H204" s="48"/>
      <c r="I204" s="48"/>
      <c r="J204" s="48"/>
      <c r="K204" s="48"/>
      <c r="L204" s="48"/>
      <c r="M204" s="48"/>
      <c r="N204" s="48"/>
      <c r="O204" s="48"/>
      <c r="P204" s="49">
        <v>14.0</v>
      </c>
      <c r="Q204" s="49">
        <v>1.0</v>
      </c>
      <c r="R204" s="48"/>
      <c r="S204" s="48"/>
      <c r="T204" s="49">
        <v>4.0</v>
      </c>
      <c r="U204" s="40">
        <f t="shared" si="95"/>
        <v>19</v>
      </c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</row>
    <row r="205">
      <c r="A205" s="50"/>
      <c r="B205" s="47" t="s">
        <v>29</v>
      </c>
      <c r="C205" s="48"/>
      <c r="D205" s="48"/>
      <c r="E205" s="48"/>
      <c r="F205" s="49">
        <f t="shared" si="94"/>
        <v>0</v>
      </c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0">
        <f t="shared" si="95"/>
        <v>0</v>
      </c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</row>
    <row r="206">
      <c r="A206" s="50"/>
      <c r="B206" s="47" t="s">
        <v>86</v>
      </c>
      <c r="C206" s="49">
        <v>5.0</v>
      </c>
      <c r="D206" s="48"/>
      <c r="E206" s="48"/>
      <c r="F206" s="49">
        <f t="shared" si="94"/>
        <v>5</v>
      </c>
      <c r="G206" s="48"/>
      <c r="H206" s="48"/>
      <c r="I206" s="48"/>
      <c r="J206" s="48"/>
      <c r="K206" s="48"/>
      <c r="L206" s="48"/>
      <c r="M206" s="48"/>
      <c r="N206" s="48"/>
      <c r="O206" s="48"/>
      <c r="P206" s="49">
        <v>4.0</v>
      </c>
      <c r="Q206" s="48"/>
      <c r="R206" s="48"/>
      <c r="S206" s="49">
        <v>1.0</v>
      </c>
      <c r="T206" s="48"/>
      <c r="U206" s="51">
        <f t="shared" si="95"/>
        <v>5</v>
      </c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</row>
    <row r="207">
      <c r="A207" s="50"/>
      <c r="B207" s="52" t="s">
        <v>87</v>
      </c>
      <c r="C207" s="54">
        <v>4.0</v>
      </c>
      <c r="D207" s="54">
        <v>4.0</v>
      </c>
      <c r="E207" s="53"/>
      <c r="F207" s="54">
        <f t="shared" si="94"/>
        <v>8</v>
      </c>
      <c r="G207" s="54">
        <v>1.0</v>
      </c>
      <c r="H207" s="53"/>
      <c r="I207" s="53"/>
      <c r="J207" s="53"/>
      <c r="K207" s="53"/>
      <c r="L207" s="53"/>
      <c r="M207" s="53"/>
      <c r="N207" s="53"/>
      <c r="O207" s="53"/>
      <c r="P207" s="54">
        <v>2.0</v>
      </c>
      <c r="Q207" s="53"/>
      <c r="R207" s="53"/>
      <c r="S207" s="53"/>
      <c r="T207" s="54">
        <v>8.0</v>
      </c>
      <c r="U207" s="40">
        <f t="shared" si="95"/>
        <v>11</v>
      </c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</row>
    <row r="208">
      <c r="A208" s="50"/>
      <c r="B208" s="52" t="s">
        <v>88</v>
      </c>
      <c r="C208" s="54">
        <v>2.0</v>
      </c>
      <c r="D208" s="53"/>
      <c r="E208" s="53"/>
      <c r="F208" s="54">
        <f t="shared" si="94"/>
        <v>2</v>
      </c>
      <c r="G208" s="53"/>
      <c r="H208" s="53"/>
      <c r="I208" s="53"/>
      <c r="J208" s="53"/>
      <c r="K208" s="53"/>
      <c r="L208" s="53"/>
      <c r="M208" s="53"/>
      <c r="N208" s="53"/>
      <c r="O208" s="53"/>
      <c r="P208" s="54">
        <v>2.0</v>
      </c>
      <c r="Q208" s="53"/>
      <c r="R208" s="53"/>
      <c r="S208" s="53"/>
      <c r="T208" s="53"/>
      <c r="U208" s="40">
        <f t="shared" si="95"/>
        <v>2</v>
      </c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</row>
    <row r="209">
      <c r="A209" s="50"/>
      <c r="B209" s="55" t="s">
        <v>89</v>
      </c>
      <c r="C209" s="55">
        <f t="shared" ref="C209:T209" si="96">SUM(C202:C208)</f>
        <v>26</v>
      </c>
      <c r="D209" s="55">
        <f t="shared" si="96"/>
        <v>10</v>
      </c>
      <c r="E209" s="55">
        <f t="shared" si="96"/>
        <v>0</v>
      </c>
      <c r="F209" s="55">
        <f t="shared" si="96"/>
        <v>36</v>
      </c>
      <c r="G209" s="55">
        <f t="shared" si="96"/>
        <v>1</v>
      </c>
      <c r="H209" s="55">
        <f t="shared" si="96"/>
        <v>0</v>
      </c>
      <c r="I209" s="55">
        <f t="shared" si="96"/>
        <v>0</v>
      </c>
      <c r="J209" s="55">
        <f t="shared" si="96"/>
        <v>0</v>
      </c>
      <c r="K209" s="55">
        <f t="shared" si="96"/>
        <v>0</v>
      </c>
      <c r="L209" s="55">
        <f t="shared" si="96"/>
        <v>0</v>
      </c>
      <c r="M209" s="55">
        <f t="shared" si="96"/>
        <v>0</v>
      </c>
      <c r="N209" s="55">
        <f t="shared" si="96"/>
        <v>0</v>
      </c>
      <c r="O209" s="55">
        <f t="shared" si="96"/>
        <v>0</v>
      </c>
      <c r="P209" s="55">
        <f t="shared" si="96"/>
        <v>22</v>
      </c>
      <c r="Q209" s="55">
        <f t="shared" si="96"/>
        <v>2</v>
      </c>
      <c r="R209" s="55">
        <f t="shared" si="96"/>
        <v>0</v>
      </c>
      <c r="S209" s="55">
        <f t="shared" si="96"/>
        <v>1</v>
      </c>
      <c r="T209" s="55">
        <f t="shared" si="96"/>
        <v>13</v>
      </c>
      <c r="U209" s="40">
        <f t="shared" si="95"/>
        <v>39</v>
      </c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</row>
    <row r="210">
      <c r="A210" s="56"/>
      <c r="B210" s="57" t="s">
        <v>90</v>
      </c>
      <c r="C210" s="58">
        <f t="shared" ref="C210:U210" si="97">C201+C209</f>
        <v>429</v>
      </c>
      <c r="D210" s="58">
        <f t="shared" si="97"/>
        <v>163</v>
      </c>
      <c r="E210" s="58">
        <f t="shared" si="97"/>
        <v>2</v>
      </c>
      <c r="F210" s="58">
        <f t="shared" si="97"/>
        <v>594</v>
      </c>
      <c r="G210" s="58">
        <f t="shared" si="97"/>
        <v>9</v>
      </c>
      <c r="H210" s="58">
        <f t="shared" si="97"/>
        <v>4</v>
      </c>
      <c r="I210" s="58">
        <f t="shared" si="97"/>
        <v>2</v>
      </c>
      <c r="J210" s="58">
        <f t="shared" si="97"/>
        <v>1</v>
      </c>
      <c r="K210" s="58">
        <f t="shared" si="97"/>
        <v>0</v>
      </c>
      <c r="L210" s="58">
        <f t="shared" si="97"/>
        <v>17</v>
      </c>
      <c r="M210" s="58">
        <f t="shared" si="97"/>
        <v>0</v>
      </c>
      <c r="N210" s="58">
        <f t="shared" si="97"/>
        <v>5</v>
      </c>
      <c r="O210" s="58">
        <f t="shared" si="97"/>
        <v>11</v>
      </c>
      <c r="P210" s="58">
        <f t="shared" si="97"/>
        <v>302</v>
      </c>
      <c r="Q210" s="58">
        <f t="shared" si="97"/>
        <v>6</v>
      </c>
      <c r="R210" s="58">
        <f t="shared" si="97"/>
        <v>138</v>
      </c>
      <c r="S210" s="58">
        <f t="shared" si="97"/>
        <v>4</v>
      </c>
      <c r="T210" s="58">
        <f t="shared" si="97"/>
        <v>146</v>
      </c>
      <c r="U210" s="40">
        <f t="shared" si="97"/>
        <v>645</v>
      </c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</row>
    <row r="211">
      <c r="A211" s="46">
        <v>46046.0</v>
      </c>
      <c r="B211" s="47" t="s">
        <v>42</v>
      </c>
      <c r="C211" s="48"/>
      <c r="D211" s="48"/>
      <c r="E211" s="48"/>
      <c r="F211" s="49">
        <f t="shared" ref="F211:F217" si="98">SUM(C211:E211)</f>
        <v>0</v>
      </c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0">
        <f t="shared" ref="U211:U218" si="99">sum(G211:T211)</f>
        <v>0</v>
      </c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</row>
    <row r="212">
      <c r="A212" s="50"/>
      <c r="B212" s="47" t="s">
        <v>85</v>
      </c>
      <c r="C212" s="48"/>
      <c r="D212" s="48"/>
      <c r="E212" s="48"/>
      <c r="F212" s="49">
        <f t="shared" si="98"/>
        <v>0</v>
      </c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0">
        <f t="shared" si="99"/>
        <v>0</v>
      </c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</row>
    <row r="213">
      <c r="A213" s="50"/>
      <c r="B213" s="47" t="s">
        <v>36</v>
      </c>
      <c r="C213" s="48"/>
      <c r="D213" s="48"/>
      <c r="E213" s="48"/>
      <c r="F213" s="49">
        <f t="shared" si="98"/>
        <v>0</v>
      </c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0">
        <f t="shared" si="99"/>
        <v>0</v>
      </c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</row>
    <row r="214">
      <c r="A214" s="50"/>
      <c r="B214" s="47" t="s">
        <v>29</v>
      </c>
      <c r="C214" s="49">
        <v>7.0</v>
      </c>
      <c r="D214" s="49">
        <v>2.0</v>
      </c>
      <c r="E214" s="48"/>
      <c r="F214" s="49">
        <f t="shared" si="98"/>
        <v>9</v>
      </c>
      <c r="G214" s="48"/>
      <c r="H214" s="48"/>
      <c r="I214" s="48"/>
      <c r="J214" s="48"/>
      <c r="K214" s="48"/>
      <c r="L214" s="48"/>
      <c r="M214" s="48"/>
      <c r="N214" s="48"/>
      <c r="O214" s="48"/>
      <c r="P214" s="49">
        <v>9.0</v>
      </c>
      <c r="Q214" s="48"/>
      <c r="R214" s="48"/>
      <c r="S214" s="48"/>
      <c r="T214" s="48"/>
      <c r="U214" s="40">
        <f t="shared" si="99"/>
        <v>9</v>
      </c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</row>
    <row r="215">
      <c r="A215" s="50"/>
      <c r="B215" s="47" t="s">
        <v>86</v>
      </c>
      <c r="C215" s="48"/>
      <c r="D215" s="49">
        <v>2.0</v>
      </c>
      <c r="E215" s="48"/>
      <c r="F215" s="49">
        <f t="shared" si="98"/>
        <v>2</v>
      </c>
      <c r="G215" s="48"/>
      <c r="H215" s="48"/>
      <c r="I215" s="48"/>
      <c r="J215" s="48"/>
      <c r="K215" s="48"/>
      <c r="L215" s="48"/>
      <c r="M215" s="48"/>
      <c r="N215" s="48"/>
      <c r="O215" s="48"/>
      <c r="P215" s="49">
        <v>2.0</v>
      </c>
      <c r="Q215" s="48"/>
      <c r="R215" s="48"/>
      <c r="S215" s="48"/>
      <c r="T215" s="48"/>
      <c r="U215" s="51">
        <f t="shared" si="99"/>
        <v>2</v>
      </c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</row>
    <row r="216">
      <c r="A216" s="50"/>
      <c r="B216" s="52" t="s">
        <v>87</v>
      </c>
      <c r="C216" s="53"/>
      <c r="D216" s="53"/>
      <c r="E216" s="53"/>
      <c r="F216" s="54">
        <f t="shared" si="98"/>
        <v>0</v>
      </c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40">
        <f t="shared" si="99"/>
        <v>0</v>
      </c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</row>
    <row r="217">
      <c r="A217" s="50"/>
      <c r="B217" s="52" t="s">
        <v>88</v>
      </c>
      <c r="C217" s="53"/>
      <c r="D217" s="53"/>
      <c r="E217" s="53"/>
      <c r="F217" s="54">
        <f t="shared" si="98"/>
        <v>0</v>
      </c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40">
        <f t="shared" si="99"/>
        <v>0</v>
      </c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</row>
    <row r="218">
      <c r="A218" s="50"/>
      <c r="B218" s="55" t="s">
        <v>89</v>
      </c>
      <c r="C218" s="55">
        <f t="shared" ref="C218:T218" si="100">SUM(C211:C217)</f>
        <v>7</v>
      </c>
      <c r="D218" s="55">
        <f t="shared" si="100"/>
        <v>4</v>
      </c>
      <c r="E218" s="55">
        <f t="shared" si="100"/>
        <v>0</v>
      </c>
      <c r="F218" s="55">
        <f t="shared" si="100"/>
        <v>11</v>
      </c>
      <c r="G218" s="55">
        <f t="shared" si="100"/>
        <v>0</v>
      </c>
      <c r="H218" s="55">
        <f t="shared" si="100"/>
        <v>0</v>
      </c>
      <c r="I218" s="55">
        <f t="shared" si="100"/>
        <v>0</v>
      </c>
      <c r="J218" s="55">
        <f t="shared" si="100"/>
        <v>0</v>
      </c>
      <c r="K218" s="55">
        <f t="shared" si="100"/>
        <v>0</v>
      </c>
      <c r="L218" s="55">
        <f t="shared" si="100"/>
        <v>0</v>
      </c>
      <c r="M218" s="55">
        <f t="shared" si="100"/>
        <v>0</v>
      </c>
      <c r="N218" s="55">
        <f t="shared" si="100"/>
        <v>0</v>
      </c>
      <c r="O218" s="55">
        <f t="shared" si="100"/>
        <v>0</v>
      </c>
      <c r="P218" s="55">
        <f t="shared" si="100"/>
        <v>11</v>
      </c>
      <c r="Q218" s="55">
        <f t="shared" si="100"/>
        <v>0</v>
      </c>
      <c r="R218" s="55">
        <f t="shared" si="100"/>
        <v>0</v>
      </c>
      <c r="S218" s="55">
        <f t="shared" si="100"/>
        <v>0</v>
      </c>
      <c r="T218" s="55">
        <f t="shared" si="100"/>
        <v>0</v>
      </c>
      <c r="U218" s="40">
        <f t="shared" si="99"/>
        <v>11</v>
      </c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</row>
    <row r="219">
      <c r="A219" s="56"/>
      <c r="B219" s="57" t="s">
        <v>90</v>
      </c>
      <c r="C219" s="58">
        <f t="shared" ref="C219:U219" si="101">C210+C218</f>
        <v>436</v>
      </c>
      <c r="D219" s="58">
        <f t="shared" si="101"/>
        <v>167</v>
      </c>
      <c r="E219" s="58">
        <f t="shared" si="101"/>
        <v>2</v>
      </c>
      <c r="F219" s="58">
        <f t="shared" si="101"/>
        <v>605</v>
      </c>
      <c r="G219" s="58">
        <f t="shared" si="101"/>
        <v>9</v>
      </c>
      <c r="H219" s="58">
        <f t="shared" si="101"/>
        <v>4</v>
      </c>
      <c r="I219" s="58">
        <f t="shared" si="101"/>
        <v>2</v>
      </c>
      <c r="J219" s="58">
        <f t="shared" si="101"/>
        <v>1</v>
      </c>
      <c r="K219" s="58">
        <f t="shared" si="101"/>
        <v>0</v>
      </c>
      <c r="L219" s="58">
        <f t="shared" si="101"/>
        <v>17</v>
      </c>
      <c r="M219" s="58">
        <f t="shared" si="101"/>
        <v>0</v>
      </c>
      <c r="N219" s="58">
        <f t="shared" si="101"/>
        <v>5</v>
      </c>
      <c r="O219" s="58">
        <f t="shared" si="101"/>
        <v>11</v>
      </c>
      <c r="P219" s="58">
        <f t="shared" si="101"/>
        <v>313</v>
      </c>
      <c r="Q219" s="58">
        <f t="shared" si="101"/>
        <v>6</v>
      </c>
      <c r="R219" s="58">
        <f t="shared" si="101"/>
        <v>138</v>
      </c>
      <c r="S219" s="58">
        <f t="shared" si="101"/>
        <v>4</v>
      </c>
      <c r="T219" s="58">
        <f t="shared" si="101"/>
        <v>146</v>
      </c>
      <c r="U219" s="40">
        <f t="shared" si="101"/>
        <v>656</v>
      </c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</row>
    <row r="220">
      <c r="A220" s="46">
        <v>46047.0</v>
      </c>
      <c r="B220" s="47" t="s">
        <v>42</v>
      </c>
      <c r="C220" s="48"/>
      <c r="D220" s="48"/>
      <c r="E220" s="48"/>
      <c r="F220" s="49">
        <f t="shared" ref="F220:F226" si="102">SUM(C220:E220)</f>
        <v>0</v>
      </c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0">
        <f t="shared" ref="U220:U227" si="103">sum(G220:T220)</f>
        <v>0</v>
      </c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</row>
    <row r="221">
      <c r="A221" s="50"/>
      <c r="B221" s="47" t="s">
        <v>85</v>
      </c>
      <c r="C221" s="48"/>
      <c r="D221" s="48"/>
      <c r="E221" s="48"/>
      <c r="F221" s="49">
        <f t="shared" si="102"/>
        <v>0</v>
      </c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0">
        <f t="shared" si="103"/>
        <v>0</v>
      </c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</row>
    <row r="222">
      <c r="A222" s="50"/>
      <c r="B222" s="47" t="s">
        <v>36</v>
      </c>
      <c r="C222" s="48"/>
      <c r="D222" s="48"/>
      <c r="E222" s="48"/>
      <c r="F222" s="49">
        <f t="shared" si="102"/>
        <v>0</v>
      </c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0">
        <f t="shared" si="103"/>
        <v>0</v>
      </c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</row>
    <row r="223">
      <c r="A223" s="50"/>
      <c r="B223" s="47" t="s">
        <v>29</v>
      </c>
      <c r="C223" s="48"/>
      <c r="D223" s="48"/>
      <c r="E223" s="48"/>
      <c r="F223" s="49">
        <f t="shared" si="102"/>
        <v>0</v>
      </c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0">
        <f t="shared" si="103"/>
        <v>0</v>
      </c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</row>
    <row r="224">
      <c r="A224" s="50"/>
      <c r="B224" s="47" t="s">
        <v>86</v>
      </c>
      <c r="C224" s="48"/>
      <c r="D224" s="48"/>
      <c r="E224" s="48"/>
      <c r="F224" s="49">
        <f t="shared" si="102"/>
        <v>0</v>
      </c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51">
        <f t="shared" si="103"/>
        <v>0</v>
      </c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</row>
    <row r="225">
      <c r="A225" s="50"/>
      <c r="B225" s="52" t="s">
        <v>87</v>
      </c>
      <c r="C225" s="53"/>
      <c r="D225" s="53"/>
      <c r="E225" s="53"/>
      <c r="F225" s="54">
        <f t="shared" si="102"/>
        <v>0</v>
      </c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40">
        <f t="shared" si="103"/>
        <v>0</v>
      </c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</row>
    <row r="226">
      <c r="A226" s="50"/>
      <c r="B226" s="52" t="s">
        <v>88</v>
      </c>
      <c r="C226" s="53"/>
      <c r="D226" s="53"/>
      <c r="E226" s="53"/>
      <c r="F226" s="54">
        <f t="shared" si="102"/>
        <v>0</v>
      </c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40">
        <f t="shared" si="103"/>
        <v>0</v>
      </c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</row>
    <row r="227">
      <c r="A227" s="50"/>
      <c r="B227" s="55" t="s">
        <v>89</v>
      </c>
      <c r="C227" s="55">
        <f t="shared" ref="C227:T227" si="104">SUM(C220:C226)</f>
        <v>0</v>
      </c>
      <c r="D227" s="55">
        <f t="shared" si="104"/>
        <v>0</v>
      </c>
      <c r="E227" s="55">
        <f t="shared" si="104"/>
        <v>0</v>
      </c>
      <c r="F227" s="55">
        <f t="shared" si="104"/>
        <v>0</v>
      </c>
      <c r="G227" s="55">
        <f t="shared" si="104"/>
        <v>0</v>
      </c>
      <c r="H227" s="55">
        <f t="shared" si="104"/>
        <v>0</v>
      </c>
      <c r="I227" s="55">
        <f t="shared" si="104"/>
        <v>0</v>
      </c>
      <c r="J227" s="55">
        <f t="shared" si="104"/>
        <v>0</v>
      </c>
      <c r="K227" s="55">
        <f t="shared" si="104"/>
        <v>0</v>
      </c>
      <c r="L227" s="55">
        <f t="shared" si="104"/>
        <v>0</v>
      </c>
      <c r="M227" s="55">
        <f t="shared" si="104"/>
        <v>0</v>
      </c>
      <c r="N227" s="55">
        <f t="shared" si="104"/>
        <v>0</v>
      </c>
      <c r="O227" s="55">
        <f t="shared" si="104"/>
        <v>0</v>
      </c>
      <c r="P227" s="55">
        <f t="shared" si="104"/>
        <v>0</v>
      </c>
      <c r="Q227" s="55">
        <f t="shared" si="104"/>
        <v>0</v>
      </c>
      <c r="R227" s="55">
        <f t="shared" si="104"/>
        <v>0</v>
      </c>
      <c r="S227" s="55">
        <f t="shared" si="104"/>
        <v>0</v>
      </c>
      <c r="T227" s="55">
        <f t="shared" si="104"/>
        <v>0</v>
      </c>
      <c r="U227" s="40">
        <f t="shared" si="103"/>
        <v>0</v>
      </c>
      <c r="V227" s="61" t="s">
        <v>91</v>
      </c>
      <c r="W227" s="61" t="s">
        <v>75</v>
      </c>
      <c r="X227" s="61" t="s">
        <v>76</v>
      </c>
      <c r="Y227" s="61" t="s">
        <v>77</v>
      </c>
      <c r="Z227" s="61" t="s">
        <v>78</v>
      </c>
      <c r="AA227" s="61" t="s">
        <v>33</v>
      </c>
      <c r="AB227" s="61" t="s">
        <v>44</v>
      </c>
      <c r="AC227" s="61" t="s">
        <v>61</v>
      </c>
      <c r="AD227" s="61" t="s">
        <v>92</v>
      </c>
      <c r="AE227" s="61" t="s">
        <v>93</v>
      </c>
      <c r="AF227" s="61" t="s">
        <v>69</v>
      </c>
      <c r="AG227" s="61" t="s">
        <v>20</v>
      </c>
      <c r="AH227" s="61" t="s">
        <v>21</v>
      </c>
      <c r="AI227" s="62" t="s">
        <v>94</v>
      </c>
      <c r="AJ227" s="61" t="s">
        <v>23</v>
      </c>
      <c r="AK227" s="61" t="s">
        <v>55</v>
      </c>
      <c r="AL227" s="61" t="s">
        <v>82</v>
      </c>
      <c r="AM227" s="61" t="s">
        <v>24</v>
      </c>
      <c r="AN227" s="61" t="s">
        <v>95</v>
      </c>
    </row>
    <row r="228">
      <c r="A228" s="56"/>
      <c r="B228" s="57" t="s">
        <v>90</v>
      </c>
      <c r="C228" s="58">
        <f t="shared" ref="C228:U228" si="105">C219+C227</f>
        <v>436</v>
      </c>
      <c r="D228" s="58">
        <f t="shared" si="105"/>
        <v>167</v>
      </c>
      <c r="E228" s="58">
        <f t="shared" si="105"/>
        <v>2</v>
      </c>
      <c r="F228" s="58">
        <f t="shared" si="105"/>
        <v>605</v>
      </c>
      <c r="G228" s="58">
        <f t="shared" si="105"/>
        <v>9</v>
      </c>
      <c r="H228" s="58">
        <f t="shared" si="105"/>
        <v>4</v>
      </c>
      <c r="I228" s="58">
        <f t="shared" si="105"/>
        <v>2</v>
      </c>
      <c r="J228" s="58">
        <f t="shared" si="105"/>
        <v>1</v>
      </c>
      <c r="K228" s="58">
        <f t="shared" si="105"/>
        <v>0</v>
      </c>
      <c r="L228" s="58">
        <f t="shared" si="105"/>
        <v>17</v>
      </c>
      <c r="M228" s="58">
        <f t="shared" si="105"/>
        <v>0</v>
      </c>
      <c r="N228" s="58">
        <f t="shared" si="105"/>
        <v>5</v>
      </c>
      <c r="O228" s="58">
        <f t="shared" si="105"/>
        <v>11</v>
      </c>
      <c r="P228" s="58">
        <f t="shared" si="105"/>
        <v>313</v>
      </c>
      <c r="Q228" s="58">
        <f t="shared" si="105"/>
        <v>6</v>
      </c>
      <c r="R228" s="58">
        <f t="shared" si="105"/>
        <v>138</v>
      </c>
      <c r="S228" s="58">
        <f t="shared" si="105"/>
        <v>4</v>
      </c>
      <c r="T228" s="58">
        <f t="shared" si="105"/>
        <v>146</v>
      </c>
      <c r="U228" s="40">
        <f t="shared" si="105"/>
        <v>656</v>
      </c>
      <c r="V228" s="63" t="s">
        <v>101</v>
      </c>
      <c r="W228" s="64">
        <f t="shared" ref="W228:AN228" si="106">SUM(C166:C170,C175:C179,C184:C188,C193:C197,C202:C206,C211:C215,C220:C224)</f>
        <v>112</v>
      </c>
      <c r="X228" s="64">
        <f t="shared" si="106"/>
        <v>47</v>
      </c>
      <c r="Y228" s="64">
        <f t="shared" si="106"/>
        <v>0</v>
      </c>
      <c r="Z228" s="64">
        <f t="shared" si="106"/>
        <v>159</v>
      </c>
      <c r="AA228" s="64">
        <f t="shared" si="106"/>
        <v>1</v>
      </c>
      <c r="AB228" s="64">
        <f t="shared" si="106"/>
        <v>1</v>
      </c>
      <c r="AC228" s="64">
        <f t="shared" si="106"/>
        <v>0</v>
      </c>
      <c r="AD228" s="64">
        <f t="shared" si="106"/>
        <v>0</v>
      </c>
      <c r="AE228" s="64">
        <f t="shared" si="106"/>
        <v>0</v>
      </c>
      <c r="AF228" s="64">
        <f t="shared" si="106"/>
        <v>2</v>
      </c>
      <c r="AG228" s="64">
        <f t="shared" si="106"/>
        <v>0</v>
      </c>
      <c r="AH228" s="64">
        <f t="shared" si="106"/>
        <v>0</v>
      </c>
      <c r="AI228" s="64">
        <f t="shared" si="106"/>
        <v>2</v>
      </c>
      <c r="AJ228" s="64">
        <f t="shared" si="106"/>
        <v>88</v>
      </c>
      <c r="AK228" s="64">
        <f t="shared" si="106"/>
        <v>2</v>
      </c>
      <c r="AL228" s="64">
        <f t="shared" si="106"/>
        <v>32</v>
      </c>
      <c r="AM228" s="64">
        <f t="shared" si="106"/>
        <v>4</v>
      </c>
      <c r="AN228" s="64">
        <f t="shared" si="106"/>
        <v>28</v>
      </c>
    </row>
    <row r="229">
      <c r="A229" s="46">
        <v>46048.0</v>
      </c>
      <c r="B229" s="47" t="s">
        <v>42</v>
      </c>
      <c r="C229" s="49">
        <v>4.0</v>
      </c>
      <c r="D229" s="48"/>
      <c r="E229" s="48"/>
      <c r="F229" s="49">
        <f t="shared" ref="F229:F235" si="107">SUM(C229:E229)</f>
        <v>4</v>
      </c>
      <c r="G229" s="48"/>
      <c r="H229" s="48"/>
      <c r="I229" s="48"/>
      <c r="J229" s="48"/>
      <c r="K229" s="48"/>
      <c r="L229" s="48"/>
      <c r="M229" s="48"/>
      <c r="N229" s="48"/>
      <c r="O229" s="48"/>
      <c r="P229" s="49">
        <v>3.0</v>
      </c>
      <c r="Q229" s="48"/>
      <c r="R229" s="48"/>
      <c r="S229" s="48"/>
      <c r="T229" s="49">
        <v>1.0</v>
      </c>
      <c r="U229" s="40">
        <f t="shared" ref="U229:U236" si="108">sum(G229:T229)</f>
        <v>4</v>
      </c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</row>
    <row r="230">
      <c r="A230" s="50"/>
      <c r="B230" s="47" t="s">
        <v>85</v>
      </c>
      <c r="C230" s="49">
        <v>2.0</v>
      </c>
      <c r="D230" s="49">
        <v>2.0</v>
      </c>
      <c r="E230" s="48"/>
      <c r="F230" s="49">
        <f t="shared" si="107"/>
        <v>4</v>
      </c>
      <c r="G230" s="48"/>
      <c r="H230" s="48"/>
      <c r="I230" s="48"/>
      <c r="J230" s="48"/>
      <c r="K230" s="48"/>
      <c r="L230" s="49">
        <v>1.0</v>
      </c>
      <c r="M230" s="48"/>
      <c r="N230" s="48"/>
      <c r="O230" s="48"/>
      <c r="P230" s="49">
        <v>2.0</v>
      </c>
      <c r="Q230" s="48"/>
      <c r="R230" s="48"/>
      <c r="S230" s="48"/>
      <c r="T230" s="49">
        <v>2.0</v>
      </c>
      <c r="U230" s="40">
        <f t="shared" si="108"/>
        <v>5</v>
      </c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</row>
    <row r="231">
      <c r="A231" s="50"/>
      <c r="B231" s="47" t="s">
        <v>36</v>
      </c>
      <c r="C231" s="49">
        <v>1.0</v>
      </c>
      <c r="D231" s="48"/>
      <c r="E231" s="48"/>
      <c r="F231" s="49">
        <f t="shared" si="107"/>
        <v>1</v>
      </c>
      <c r="G231" s="48"/>
      <c r="H231" s="68">
        <v>1.0</v>
      </c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0">
        <f t="shared" si="108"/>
        <v>1</v>
      </c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</row>
    <row r="232">
      <c r="A232" s="50"/>
      <c r="B232" s="47" t="s">
        <v>29</v>
      </c>
      <c r="C232" s="49">
        <v>12.0</v>
      </c>
      <c r="D232" s="49">
        <v>3.0</v>
      </c>
      <c r="E232" s="48"/>
      <c r="F232" s="49">
        <f t="shared" si="107"/>
        <v>15</v>
      </c>
      <c r="G232" s="48"/>
      <c r="H232" s="48"/>
      <c r="I232" s="48"/>
      <c r="J232" s="48"/>
      <c r="K232" s="48"/>
      <c r="L232" s="48"/>
      <c r="M232" s="48"/>
      <c r="N232" s="48"/>
      <c r="O232" s="48"/>
      <c r="P232" s="49">
        <v>14.0</v>
      </c>
      <c r="Q232" s="48"/>
      <c r="R232" s="48"/>
      <c r="S232" s="48"/>
      <c r="T232" s="49">
        <v>1.0</v>
      </c>
      <c r="U232" s="40">
        <f t="shared" si="108"/>
        <v>15</v>
      </c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</row>
    <row r="233">
      <c r="A233" s="50"/>
      <c r="B233" s="47" t="s">
        <v>86</v>
      </c>
      <c r="C233" s="49">
        <v>4.0</v>
      </c>
      <c r="D233" s="48"/>
      <c r="E233" s="48"/>
      <c r="F233" s="49">
        <f t="shared" si="107"/>
        <v>4</v>
      </c>
      <c r="G233" s="48"/>
      <c r="H233" s="48"/>
      <c r="I233" s="48"/>
      <c r="J233" s="48"/>
      <c r="K233" s="48"/>
      <c r="L233" s="48"/>
      <c r="M233" s="48"/>
      <c r="N233" s="48"/>
      <c r="O233" s="48"/>
      <c r="P233" s="49">
        <v>4.0</v>
      </c>
      <c r="Q233" s="48"/>
      <c r="R233" s="48"/>
      <c r="S233" s="48"/>
      <c r="T233" s="48"/>
      <c r="U233" s="51">
        <f t="shared" si="108"/>
        <v>4</v>
      </c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</row>
    <row r="234">
      <c r="A234" s="50"/>
      <c r="B234" s="52" t="s">
        <v>87</v>
      </c>
      <c r="C234" s="54">
        <v>3.0</v>
      </c>
      <c r="D234" s="54">
        <v>2.0</v>
      </c>
      <c r="E234" s="53"/>
      <c r="F234" s="54">
        <f t="shared" si="107"/>
        <v>5</v>
      </c>
      <c r="G234" s="53"/>
      <c r="H234" s="53"/>
      <c r="I234" s="53"/>
      <c r="J234" s="53"/>
      <c r="K234" s="53"/>
      <c r="L234" s="53"/>
      <c r="M234" s="53"/>
      <c r="N234" s="53"/>
      <c r="O234" s="53"/>
      <c r="P234" s="54">
        <v>3.0</v>
      </c>
      <c r="Q234" s="53"/>
      <c r="R234" s="53"/>
      <c r="S234" s="53"/>
      <c r="T234" s="54">
        <v>5.0</v>
      </c>
      <c r="U234" s="40">
        <f t="shared" si="108"/>
        <v>8</v>
      </c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</row>
    <row r="235">
      <c r="A235" s="50"/>
      <c r="B235" s="52" t="s">
        <v>88</v>
      </c>
      <c r="C235" s="54">
        <v>0.0</v>
      </c>
      <c r="D235" s="54">
        <v>0.0</v>
      </c>
      <c r="E235" s="53"/>
      <c r="F235" s="54">
        <f t="shared" si="107"/>
        <v>0</v>
      </c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40">
        <f t="shared" si="108"/>
        <v>0</v>
      </c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</row>
    <row r="236">
      <c r="A236" s="50"/>
      <c r="B236" s="55" t="s">
        <v>89</v>
      </c>
      <c r="C236" s="55">
        <f t="shared" ref="C236:T236" si="109">SUM(C229:C235)</f>
        <v>26</v>
      </c>
      <c r="D236" s="55">
        <f t="shared" si="109"/>
        <v>7</v>
      </c>
      <c r="E236" s="55">
        <f t="shared" si="109"/>
        <v>0</v>
      </c>
      <c r="F236" s="55">
        <f t="shared" si="109"/>
        <v>33</v>
      </c>
      <c r="G236" s="55">
        <f t="shared" si="109"/>
        <v>0</v>
      </c>
      <c r="H236" s="55">
        <f t="shared" si="109"/>
        <v>1</v>
      </c>
      <c r="I236" s="55">
        <f t="shared" si="109"/>
        <v>0</v>
      </c>
      <c r="J236" s="55">
        <f t="shared" si="109"/>
        <v>0</v>
      </c>
      <c r="K236" s="55">
        <f t="shared" si="109"/>
        <v>0</v>
      </c>
      <c r="L236" s="55">
        <f t="shared" si="109"/>
        <v>1</v>
      </c>
      <c r="M236" s="55">
        <f t="shared" si="109"/>
        <v>0</v>
      </c>
      <c r="N236" s="55">
        <f t="shared" si="109"/>
        <v>0</v>
      </c>
      <c r="O236" s="55">
        <f t="shared" si="109"/>
        <v>0</v>
      </c>
      <c r="P236" s="55">
        <f t="shared" si="109"/>
        <v>26</v>
      </c>
      <c r="Q236" s="55">
        <f t="shared" si="109"/>
        <v>0</v>
      </c>
      <c r="R236" s="55">
        <f t="shared" si="109"/>
        <v>0</v>
      </c>
      <c r="S236" s="55">
        <f t="shared" si="109"/>
        <v>0</v>
      </c>
      <c r="T236" s="55">
        <f t="shared" si="109"/>
        <v>9</v>
      </c>
      <c r="U236" s="40">
        <f t="shared" si="108"/>
        <v>37</v>
      </c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</row>
    <row r="237">
      <c r="A237" s="56"/>
      <c r="B237" s="57" t="s">
        <v>90</v>
      </c>
      <c r="C237" s="58">
        <f t="shared" ref="C237:U237" si="110">C228+C236</f>
        <v>462</v>
      </c>
      <c r="D237" s="58">
        <f t="shared" si="110"/>
        <v>174</v>
      </c>
      <c r="E237" s="58">
        <f t="shared" si="110"/>
        <v>2</v>
      </c>
      <c r="F237" s="58">
        <f t="shared" si="110"/>
        <v>638</v>
      </c>
      <c r="G237" s="58">
        <f t="shared" si="110"/>
        <v>9</v>
      </c>
      <c r="H237" s="58">
        <f t="shared" si="110"/>
        <v>5</v>
      </c>
      <c r="I237" s="58">
        <f t="shared" si="110"/>
        <v>2</v>
      </c>
      <c r="J237" s="58">
        <f t="shared" si="110"/>
        <v>1</v>
      </c>
      <c r="K237" s="58">
        <f t="shared" si="110"/>
        <v>0</v>
      </c>
      <c r="L237" s="58">
        <f t="shared" si="110"/>
        <v>18</v>
      </c>
      <c r="M237" s="58">
        <f t="shared" si="110"/>
        <v>0</v>
      </c>
      <c r="N237" s="58">
        <f t="shared" si="110"/>
        <v>5</v>
      </c>
      <c r="O237" s="58">
        <f t="shared" si="110"/>
        <v>11</v>
      </c>
      <c r="P237" s="58">
        <f t="shared" si="110"/>
        <v>339</v>
      </c>
      <c r="Q237" s="58">
        <f t="shared" si="110"/>
        <v>6</v>
      </c>
      <c r="R237" s="58">
        <f t="shared" si="110"/>
        <v>138</v>
      </c>
      <c r="S237" s="58">
        <f t="shared" si="110"/>
        <v>4</v>
      </c>
      <c r="T237" s="58">
        <f t="shared" si="110"/>
        <v>155</v>
      </c>
      <c r="U237" s="40">
        <f t="shared" si="110"/>
        <v>693</v>
      </c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</row>
    <row r="238">
      <c r="A238" s="46">
        <v>46049.0</v>
      </c>
      <c r="B238" s="47" t="s">
        <v>42</v>
      </c>
      <c r="C238" s="49">
        <v>2.0</v>
      </c>
      <c r="D238" s="48"/>
      <c r="E238" s="48"/>
      <c r="F238" s="49">
        <f t="shared" ref="F238:F244" si="111">SUM(C238:E238)</f>
        <v>2</v>
      </c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9">
        <v>2.0</v>
      </c>
      <c r="U238" s="40">
        <f t="shared" ref="U238:U245" si="112">sum(G238:T238)</f>
        <v>2</v>
      </c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</row>
    <row r="239">
      <c r="A239" s="50"/>
      <c r="B239" s="47" t="s">
        <v>85</v>
      </c>
      <c r="C239" s="48"/>
      <c r="D239" s="48"/>
      <c r="E239" s="48"/>
      <c r="F239" s="49">
        <f t="shared" si="111"/>
        <v>0</v>
      </c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0">
        <f t="shared" si="112"/>
        <v>0</v>
      </c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</row>
    <row r="240">
      <c r="A240" s="50"/>
      <c r="B240" s="47" t="s">
        <v>36</v>
      </c>
      <c r="C240" s="49">
        <v>3.0</v>
      </c>
      <c r="D240" s="49">
        <v>1.0</v>
      </c>
      <c r="E240" s="48"/>
      <c r="F240" s="49">
        <f t="shared" si="111"/>
        <v>4</v>
      </c>
      <c r="G240" s="48"/>
      <c r="H240" s="49">
        <v>1.0</v>
      </c>
      <c r="I240" s="48"/>
      <c r="J240" s="48"/>
      <c r="K240" s="48"/>
      <c r="L240" s="49">
        <v>1.0</v>
      </c>
      <c r="M240" s="48"/>
      <c r="N240" s="48"/>
      <c r="O240" s="48"/>
      <c r="P240" s="49">
        <v>1.0</v>
      </c>
      <c r="Q240" s="48"/>
      <c r="R240" s="48"/>
      <c r="S240" s="48"/>
      <c r="T240" s="49">
        <v>1.0</v>
      </c>
      <c r="U240" s="40">
        <f t="shared" si="112"/>
        <v>4</v>
      </c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</row>
    <row r="241">
      <c r="A241" s="50"/>
      <c r="B241" s="47" t="s">
        <v>29</v>
      </c>
      <c r="C241" s="49">
        <v>21.0</v>
      </c>
      <c r="D241" s="49">
        <v>12.0</v>
      </c>
      <c r="E241" s="48"/>
      <c r="F241" s="49">
        <f t="shared" si="111"/>
        <v>33</v>
      </c>
      <c r="G241" s="48"/>
      <c r="H241" s="48"/>
      <c r="I241" s="48"/>
      <c r="J241" s="48"/>
      <c r="K241" s="48"/>
      <c r="L241" s="48"/>
      <c r="M241" s="48"/>
      <c r="N241" s="49">
        <v>8.0</v>
      </c>
      <c r="O241" s="48"/>
      <c r="P241" s="48"/>
      <c r="Q241" s="48"/>
      <c r="R241" s="49">
        <v>23.0</v>
      </c>
      <c r="S241" s="48"/>
      <c r="T241" s="49">
        <v>3.0</v>
      </c>
      <c r="U241" s="40">
        <f t="shared" si="112"/>
        <v>34</v>
      </c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</row>
    <row r="242">
      <c r="A242" s="50"/>
      <c r="B242" s="47" t="s">
        <v>86</v>
      </c>
      <c r="C242" s="49">
        <v>2.0</v>
      </c>
      <c r="D242" s="49">
        <v>1.0</v>
      </c>
      <c r="E242" s="48"/>
      <c r="F242" s="49">
        <f t="shared" si="111"/>
        <v>3</v>
      </c>
      <c r="G242" s="48"/>
      <c r="H242" s="48"/>
      <c r="I242" s="48"/>
      <c r="J242" s="48"/>
      <c r="K242" s="48"/>
      <c r="L242" s="48"/>
      <c r="M242" s="48"/>
      <c r="N242" s="48"/>
      <c r="O242" s="48"/>
      <c r="P242" s="49">
        <v>2.0</v>
      </c>
      <c r="Q242" s="48"/>
      <c r="R242" s="48"/>
      <c r="S242" s="48"/>
      <c r="T242" s="49">
        <v>1.0</v>
      </c>
      <c r="U242" s="51">
        <f t="shared" si="112"/>
        <v>3</v>
      </c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</row>
    <row r="243">
      <c r="A243" s="50"/>
      <c r="B243" s="52" t="s">
        <v>87</v>
      </c>
      <c r="C243" s="54">
        <v>2.0</v>
      </c>
      <c r="D243" s="54">
        <v>3.0</v>
      </c>
      <c r="E243" s="53"/>
      <c r="F243" s="54">
        <f t="shared" si="111"/>
        <v>5</v>
      </c>
      <c r="G243" s="54">
        <v>1.0</v>
      </c>
      <c r="H243" s="53"/>
      <c r="I243" s="53"/>
      <c r="J243" s="53"/>
      <c r="K243" s="53"/>
      <c r="L243" s="53"/>
      <c r="M243" s="53"/>
      <c r="N243" s="54">
        <v>2.0</v>
      </c>
      <c r="O243" s="53"/>
      <c r="P243" s="54">
        <v>1.0</v>
      </c>
      <c r="Q243" s="53"/>
      <c r="R243" s="54">
        <v>1.0</v>
      </c>
      <c r="S243" s="53"/>
      <c r="T243" s="54">
        <v>3.0</v>
      </c>
      <c r="U243" s="40">
        <f t="shared" si="112"/>
        <v>8</v>
      </c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</row>
    <row r="244">
      <c r="A244" s="50"/>
      <c r="B244" s="52" t="s">
        <v>88</v>
      </c>
      <c r="C244" s="54">
        <v>1.0</v>
      </c>
      <c r="D244" s="53"/>
      <c r="E244" s="53"/>
      <c r="F244" s="54">
        <f t="shared" si="111"/>
        <v>1</v>
      </c>
      <c r="G244" s="53"/>
      <c r="H244" s="53"/>
      <c r="I244" s="53"/>
      <c r="J244" s="53"/>
      <c r="K244" s="53"/>
      <c r="L244" s="53"/>
      <c r="M244" s="53"/>
      <c r="N244" s="53"/>
      <c r="O244" s="53"/>
      <c r="P244" s="54">
        <v>1.0</v>
      </c>
      <c r="Q244" s="53"/>
      <c r="R244" s="53"/>
      <c r="S244" s="53"/>
      <c r="T244" s="53"/>
      <c r="U244" s="40">
        <f t="shared" si="112"/>
        <v>1</v>
      </c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</row>
    <row r="245">
      <c r="A245" s="50"/>
      <c r="B245" s="55" t="s">
        <v>89</v>
      </c>
      <c r="C245" s="55">
        <f t="shared" ref="C245:T245" si="113">SUM(C238:C244)</f>
        <v>31</v>
      </c>
      <c r="D245" s="55">
        <f t="shared" si="113"/>
        <v>17</v>
      </c>
      <c r="E245" s="55">
        <f t="shared" si="113"/>
        <v>0</v>
      </c>
      <c r="F245" s="55">
        <f t="shared" si="113"/>
        <v>48</v>
      </c>
      <c r="G245" s="55">
        <f t="shared" si="113"/>
        <v>1</v>
      </c>
      <c r="H245" s="55">
        <f t="shared" si="113"/>
        <v>1</v>
      </c>
      <c r="I245" s="55">
        <f t="shared" si="113"/>
        <v>0</v>
      </c>
      <c r="J245" s="55">
        <f t="shared" si="113"/>
        <v>0</v>
      </c>
      <c r="K245" s="55">
        <f t="shared" si="113"/>
        <v>0</v>
      </c>
      <c r="L245" s="55">
        <f t="shared" si="113"/>
        <v>1</v>
      </c>
      <c r="M245" s="55">
        <f t="shared" si="113"/>
        <v>0</v>
      </c>
      <c r="N245" s="55">
        <f t="shared" si="113"/>
        <v>10</v>
      </c>
      <c r="O245" s="55">
        <f t="shared" si="113"/>
        <v>0</v>
      </c>
      <c r="P245" s="55">
        <f t="shared" si="113"/>
        <v>5</v>
      </c>
      <c r="Q245" s="55">
        <f t="shared" si="113"/>
        <v>0</v>
      </c>
      <c r="R245" s="55">
        <f t="shared" si="113"/>
        <v>24</v>
      </c>
      <c r="S245" s="55">
        <f t="shared" si="113"/>
        <v>0</v>
      </c>
      <c r="T245" s="55">
        <f t="shared" si="113"/>
        <v>10</v>
      </c>
      <c r="U245" s="40">
        <f t="shared" si="112"/>
        <v>52</v>
      </c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</row>
    <row r="246">
      <c r="A246" s="56"/>
      <c r="B246" s="57" t="s">
        <v>90</v>
      </c>
      <c r="C246" s="58">
        <f t="shared" ref="C246:U246" si="114">C237+C245</f>
        <v>493</v>
      </c>
      <c r="D246" s="58">
        <f t="shared" si="114"/>
        <v>191</v>
      </c>
      <c r="E246" s="58">
        <f t="shared" si="114"/>
        <v>2</v>
      </c>
      <c r="F246" s="58">
        <f t="shared" si="114"/>
        <v>686</v>
      </c>
      <c r="G246" s="58">
        <f t="shared" si="114"/>
        <v>10</v>
      </c>
      <c r="H246" s="58">
        <f t="shared" si="114"/>
        <v>6</v>
      </c>
      <c r="I246" s="58">
        <f t="shared" si="114"/>
        <v>2</v>
      </c>
      <c r="J246" s="58">
        <f t="shared" si="114"/>
        <v>1</v>
      </c>
      <c r="K246" s="58">
        <f t="shared" si="114"/>
        <v>0</v>
      </c>
      <c r="L246" s="58">
        <f t="shared" si="114"/>
        <v>19</v>
      </c>
      <c r="M246" s="58">
        <f t="shared" si="114"/>
        <v>0</v>
      </c>
      <c r="N246" s="58">
        <f t="shared" si="114"/>
        <v>15</v>
      </c>
      <c r="O246" s="58">
        <f t="shared" si="114"/>
        <v>11</v>
      </c>
      <c r="P246" s="58">
        <f t="shared" si="114"/>
        <v>344</v>
      </c>
      <c r="Q246" s="58">
        <f t="shared" si="114"/>
        <v>6</v>
      </c>
      <c r="R246" s="58">
        <f t="shared" si="114"/>
        <v>162</v>
      </c>
      <c r="S246" s="58">
        <f t="shared" si="114"/>
        <v>4</v>
      </c>
      <c r="T246" s="58">
        <f t="shared" si="114"/>
        <v>165</v>
      </c>
      <c r="U246" s="40">
        <f t="shared" si="114"/>
        <v>745</v>
      </c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</row>
    <row r="247">
      <c r="A247" s="46">
        <v>46050.0</v>
      </c>
      <c r="B247" s="47" t="s">
        <v>42</v>
      </c>
      <c r="C247" s="49">
        <v>2.0</v>
      </c>
      <c r="D247" s="49">
        <v>1.0</v>
      </c>
      <c r="E247" s="48"/>
      <c r="F247" s="49">
        <f t="shared" ref="F247:F253" si="115">SUM(C247:E247)</f>
        <v>3</v>
      </c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9">
        <v>3.0</v>
      </c>
      <c r="U247" s="40">
        <f t="shared" ref="U247:U254" si="116">sum(G247:T247)</f>
        <v>3</v>
      </c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</row>
    <row r="248">
      <c r="A248" s="50"/>
      <c r="B248" s="47" t="s">
        <v>85</v>
      </c>
      <c r="C248" s="49">
        <v>13.0</v>
      </c>
      <c r="D248" s="49">
        <v>4.0</v>
      </c>
      <c r="E248" s="48"/>
      <c r="F248" s="49">
        <f t="shared" si="115"/>
        <v>17</v>
      </c>
      <c r="G248" s="48"/>
      <c r="H248" s="48"/>
      <c r="I248" s="49">
        <v>1.0</v>
      </c>
      <c r="J248" s="48"/>
      <c r="K248" s="48"/>
      <c r="L248" s="48"/>
      <c r="M248" s="48"/>
      <c r="N248" s="48"/>
      <c r="O248" s="48"/>
      <c r="P248" s="49">
        <v>16.0</v>
      </c>
      <c r="Q248" s="48"/>
      <c r="R248" s="48"/>
      <c r="S248" s="48"/>
      <c r="T248" s="48"/>
      <c r="U248" s="40">
        <f t="shared" si="116"/>
        <v>17</v>
      </c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</row>
    <row r="249">
      <c r="A249" s="50"/>
      <c r="B249" s="47" t="s">
        <v>36</v>
      </c>
      <c r="C249" s="48"/>
      <c r="D249" s="49">
        <v>2.0</v>
      </c>
      <c r="E249" s="48"/>
      <c r="F249" s="49">
        <f t="shared" si="115"/>
        <v>2</v>
      </c>
      <c r="G249" s="48"/>
      <c r="H249" s="48"/>
      <c r="I249" s="48"/>
      <c r="J249" s="48"/>
      <c r="K249" s="48"/>
      <c r="L249" s="49">
        <v>1.0</v>
      </c>
      <c r="M249" s="48"/>
      <c r="N249" s="48"/>
      <c r="O249" s="48"/>
      <c r="P249" s="48"/>
      <c r="Q249" s="49">
        <v>1.0</v>
      </c>
      <c r="R249" s="48"/>
      <c r="S249" s="48"/>
      <c r="T249" s="48"/>
      <c r="U249" s="40">
        <f t="shared" si="116"/>
        <v>2</v>
      </c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</row>
    <row r="250">
      <c r="A250" s="50"/>
      <c r="B250" s="47" t="s">
        <v>29</v>
      </c>
      <c r="C250" s="49">
        <v>14.0</v>
      </c>
      <c r="D250" s="49">
        <v>4.0</v>
      </c>
      <c r="E250" s="48"/>
      <c r="F250" s="49">
        <f t="shared" si="115"/>
        <v>18</v>
      </c>
      <c r="G250" s="48"/>
      <c r="H250" s="48"/>
      <c r="I250" s="48"/>
      <c r="J250" s="48"/>
      <c r="K250" s="48"/>
      <c r="L250" s="48"/>
      <c r="M250" s="49">
        <v>17.0</v>
      </c>
      <c r="N250" s="48"/>
      <c r="O250" s="48"/>
      <c r="P250" s="48"/>
      <c r="Q250" s="48"/>
      <c r="R250" s="48"/>
      <c r="S250" s="48"/>
      <c r="T250" s="48"/>
      <c r="U250" s="40">
        <f t="shared" si="116"/>
        <v>17</v>
      </c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</row>
    <row r="251">
      <c r="A251" s="50"/>
      <c r="B251" s="47" t="s">
        <v>86</v>
      </c>
      <c r="C251" s="48"/>
      <c r="D251" s="49">
        <v>1.0</v>
      </c>
      <c r="E251" s="48"/>
      <c r="F251" s="49">
        <f t="shared" si="115"/>
        <v>1</v>
      </c>
      <c r="G251" s="48"/>
      <c r="H251" s="48"/>
      <c r="I251" s="49">
        <v>1.0</v>
      </c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51">
        <f t="shared" si="116"/>
        <v>1</v>
      </c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</row>
    <row r="252">
      <c r="A252" s="50"/>
      <c r="B252" s="52" t="s">
        <v>87</v>
      </c>
      <c r="C252" s="54">
        <v>3.0</v>
      </c>
      <c r="D252" s="54">
        <v>3.0</v>
      </c>
      <c r="E252" s="53"/>
      <c r="F252" s="54">
        <f t="shared" si="115"/>
        <v>6</v>
      </c>
      <c r="G252" s="54">
        <v>2.0</v>
      </c>
      <c r="H252" s="53"/>
      <c r="I252" s="53"/>
      <c r="J252" s="53"/>
      <c r="K252" s="53"/>
      <c r="L252" s="53"/>
      <c r="M252" s="53"/>
      <c r="N252" s="54">
        <v>2.0</v>
      </c>
      <c r="O252" s="53"/>
      <c r="P252" s="54">
        <v>1.0</v>
      </c>
      <c r="Q252" s="53"/>
      <c r="R252" s="53"/>
      <c r="S252" s="53"/>
      <c r="T252" s="54">
        <v>8.0</v>
      </c>
      <c r="U252" s="40">
        <f t="shared" si="116"/>
        <v>13</v>
      </c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</row>
    <row r="253">
      <c r="A253" s="50"/>
      <c r="B253" s="52" t="s">
        <v>88</v>
      </c>
      <c r="C253" s="53"/>
      <c r="D253" s="53"/>
      <c r="E253" s="53"/>
      <c r="F253" s="54">
        <f t="shared" si="115"/>
        <v>0</v>
      </c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40">
        <f t="shared" si="116"/>
        <v>0</v>
      </c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</row>
    <row r="254">
      <c r="A254" s="50"/>
      <c r="B254" s="55" t="s">
        <v>89</v>
      </c>
      <c r="C254" s="55">
        <f t="shared" ref="C254:T254" si="117">SUM(C247:C253)</f>
        <v>32</v>
      </c>
      <c r="D254" s="55">
        <f t="shared" si="117"/>
        <v>15</v>
      </c>
      <c r="E254" s="55">
        <f t="shared" si="117"/>
        <v>0</v>
      </c>
      <c r="F254" s="55">
        <f t="shared" si="117"/>
        <v>47</v>
      </c>
      <c r="G254" s="55">
        <f t="shared" si="117"/>
        <v>2</v>
      </c>
      <c r="H254" s="55">
        <f t="shared" si="117"/>
        <v>0</v>
      </c>
      <c r="I254" s="55">
        <f t="shared" si="117"/>
        <v>2</v>
      </c>
      <c r="J254" s="55">
        <f t="shared" si="117"/>
        <v>0</v>
      </c>
      <c r="K254" s="55">
        <f t="shared" si="117"/>
        <v>0</v>
      </c>
      <c r="L254" s="55">
        <f t="shared" si="117"/>
        <v>1</v>
      </c>
      <c r="M254" s="55">
        <f t="shared" si="117"/>
        <v>17</v>
      </c>
      <c r="N254" s="55">
        <f t="shared" si="117"/>
        <v>2</v>
      </c>
      <c r="O254" s="55">
        <f t="shared" si="117"/>
        <v>0</v>
      </c>
      <c r="P254" s="55">
        <f t="shared" si="117"/>
        <v>17</v>
      </c>
      <c r="Q254" s="55">
        <f t="shared" si="117"/>
        <v>1</v>
      </c>
      <c r="R254" s="55">
        <f t="shared" si="117"/>
        <v>0</v>
      </c>
      <c r="S254" s="55">
        <f t="shared" si="117"/>
        <v>0</v>
      </c>
      <c r="T254" s="55">
        <f t="shared" si="117"/>
        <v>11</v>
      </c>
      <c r="U254" s="40">
        <f t="shared" si="116"/>
        <v>53</v>
      </c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</row>
    <row r="255">
      <c r="A255" s="56"/>
      <c r="B255" s="57" t="s">
        <v>90</v>
      </c>
      <c r="C255" s="58">
        <f t="shared" ref="C255:U255" si="118">C246+C254</f>
        <v>525</v>
      </c>
      <c r="D255" s="58">
        <f t="shared" si="118"/>
        <v>206</v>
      </c>
      <c r="E255" s="58">
        <f t="shared" si="118"/>
        <v>2</v>
      </c>
      <c r="F255" s="58">
        <f t="shared" si="118"/>
        <v>733</v>
      </c>
      <c r="G255" s="58">
        <f t="shared" si="118"/>
        <v>12</v>
      </c>
      <c r="H255" s="58">
        <f t="shared" si="118"/>
        <v>6</v>
      </c>
      <c r="I255" s="58">
        <f t="shared" si="118"/>
        <v>4</v>
      </c>
      <c r="J255" s="58">
        <f t="shared" si="118"/>
        <v>1</v>
      </c>
      <c r="K255" s="58">
        <f t="shared" si="118"/>
        <v>0</v>
      </c>
      <c r="L255" s="58">
        <f t="shared" si="118"/>
        <v>20</v>
      </c>
      <c r="M255" s="58">
        <f t="shared" si="118"/>
        <v>17</v>
      </c>
      <c r="N255" s="58">
        <f t="shared" si="118"/>
        <v>17</v>
      </c>
      <c r="O255" s="58">
        <f t="shared" si="118"/>
        <v>11</v>
      </c>
      <c r="P255" s="58">
        <f t="shared" si="118"/>
        <v>361</v>
      </c>
      <c r="Q255" s="58">
        <f t="shared" si="118"/>
        <v>7</v>
      </c>
      <c r="R255" s="58">
        <f t="shared" si="118"/>
        <v>162</v>
      </c>
      <c r="S255" s="58">
        <f t="shared" si="118"/>
        <v>4</v>
      </c>
      <c r="T255" s="58">
        <f t="shared" si="118"/>
        <v>176</v>
      </c>
      <c r="U255" s="40">
        <f t="shared" si="118"/>
        <v>798</v>
      </c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</row>
    <row r="256">
      <c r="A256" s="46">
        <v>46051.0</v>
      </c>
      <c r="B256" s="47" t="s">
        <v>42</v>
      </c>
      <c r="C256" s="49">
        <v>3.0</v>
      </c>
      <c r="D256" s="48"/>
      <c r="E256" s="48"/>
      <c r="F256" s="49">
        <f t="shared" ref="F256:F262" si="119">SUM(C256:E256)</f>
        <v>3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9">
        <v>2.0</v>
      </c>
      <c r="Q256" s="48"/>
      <c r="R256" s="48"/>
      <c r="S256" s="48"/>
      <c r="T256" s="49">
        <v>1.0</v>
      </c>
      <c r="U256" s="40">
        <f t="shared" ref="U256:U263" si="120">sum(G256:T256)</f>
        <v>3</v>
      </c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</row>
    <row r="257">
      <c r="A257" s="50"/>
      <c r="B257" s="47" t="s">
        <v>85</v>
      </c>
      <c r="C257" s="48"/>
      <c r="D257" s="49">
        <v>1.0</v>
      </c>
      <c r="E257" s="48"/>
      <c r="F257" s="49">
        <f t="shared" si="119"/>
        <v>1</v>
      </c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9">
        <v>1.0</v>
      </c>
      <c r="U257" s="40">
        <f t="shared" si="120"/>
        <v>1</v>
      </c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</row>
    <row r="258">
      <c r="A258" s="50"/>
      <c r="B258" s="47" t="s">
        <v>36</v>
      </c>
      <c r="C258" s="49">
        <v>3.0</v>
      </c>
      <c r="D258" s="48"/>
      <c r="E258" s="48"/>
      <c r="F258" s="49">
        <f t="shared" si="119"/>
        <v>3</v>
      </c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9">
        <v>3.0</v>
      </c>
      <c r="U258" s="40">
        <f t="shared" si="120"/>
        <v>3</v>
      </c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</row>
    <row r="259">
      <c r="A259" s="50"/>
      <c r="B259" s="47" t="s">
        <v>29</v>
      </c>
      <c r="C259" s="48"/>
      <c r="D259" s="48"/>
      <c r="E259" s="48"/>
      <c r="F259" s="49">
        <f t="shared" si="119"/>
        <v>0</v>
      </c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0">
        <f t="shared" si="120"/>
        <v>0</v>
      </c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</row>
    <row r="260">
      <c r="A260" s="50"/>
      <c r="B260" s="47" t="s">
        <v>86</v>
      </c>
      <c r="C260" s="49">
        <v>12.0</v>
      </c>
      <c r="D260" s="49">
        <v>6.0</v>
      </c>
      <c r="E260" s="48"/>
      <c r="F260" s="49">
        <f t="shared" si="119"/>
        <v>18</v>
      </c>
      <c r="G260" s="48"/>
      <c r="H260" s="48"/>
      <c r="I260" s="48"/>
      <c r="J260" s="48"/>
      <c r="K260" s="48"/>
      <c r="L260" s="48"/>
      <c r="M260" s="48"/>
      <c r="N260" s="48"/>
      <c r="O260" s="48"/>
      <c r="P260" s="49">
        <v>15.0</v>
      </c>
      <c r="Q260" s="49">
        <v>1.0</v>
      </c>
      <c r="R260" s="49">
        <v>1.0</v>
      </c>
      <c r="S260" s="48"/>
      <c r="T260" s="49">
        <v>1.0</v>
      </c>
      <c r="U260" s="51">
        <f t="shared" si="120"/>
        <v>18</v>
      </c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</row>
    <row r="261">
      <c r="A261" s="50"/>
      <c r="B261" s="52" t="s">
        <v>87</v>
      </c>
      <c r="C261" s="54">
        <v>3.0</v>
      </c>
      <c r="D261" s="54">
        <v>2.0</v>
      </c>
      <c r="E261" s="53"/>
      <c r="F261" s="54">
        <f t="shared" si="119"/>
        <v>5</v>
      </c>
      <c r="G261" s="53"/>
      <c r="H261" s="53"/>
      <c r="I261" s="53"/>
      <c r="J261" s="53"/>
      <c r="K261" s="53"/>
      <c r="L261" s="53"/>
      <c r="M261" s="53"/>
      <c r="N261" s="53"/>
      <c r="O261" s="53"/>
      <c r="P261" s="54">
        <v>2.0</v>
      </c>
      <c r="Q261" s="53"/>
      <c r="R261" s="53"/>
      <c r="S261" s="53"/>
      <c r="T261" s="54">
        <v>8.0</v>
      </c>
      <c r="U261" s="40">
        <f t="shared" si="120"/>
        <v>10</v>
      </c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</row>
    <row r="262">
      <c r="A262" s="50"/>
      <c r="B262" s="52" t="s">
        <v>88</v>
      </c>
      <c r="C262" s="54">
        <v>0.0</v>
      </c>
      <c r="D262" s="54">
        <v>0.0</v>
      </c>
      <c r="E262" s="53"/>
      <c r="F262" s="54">
        <f t="shared" si="119"/>
        <v>0</v>
      </c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40">
        <f t="shared" si="120"/>
        <v>0</v>
      </c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</row>
    <row r="263">
      <c r="A263" s="50"/>
      <c r="B263" s="55" t="s">
        <v>89</v>
      </c>
      <c r="C263" s="55">
        <f t="shared" ref="C263:T263" si="121">SUM(C256:C262)</f>
        <v>21</v>
      </c>
      <c r="D263" s="55">
        <f t="shared" si="121"/>
        <v>9</v>
      </c>
      <c r="E263" s="55">
        <f t="shared" si="121"/>
        <v>0</v>
      </c>
      <c r="F263" s="55">
        <f t="shared" si="121"/>
        <v>30</v>
      </c>
      <c r="G263" s="55">
        <f t="shared" si="121"/>
        <v>0</v>
      </c>
      <c r="H263" s="55">
        <f t="shared" si="121"/>
        <v>0</v>
      </c>
      <c r="I263" s="55">
        <f t="shared" si="121"/>
        <v>0</v>
      </c>
      <c r="J263" s="55">
        <f t="shared" si="121"/>
        <v>0</v>
      </c>
      <c r="K263" s="55">
        <f t="shared" si="121"/>
        <v>0</v>
      </c>
      <c r="L263" s="55">
        <f t="shared" si="121"/>
        <v>0</v>
      </c>
      <c r="M263" s="55">
        <f t="shared" si="121"/>
        <v>0</v>
      </c>
      <c r="N263" s="55">
        <f t="shared" si="121"/>
        <v>0</v>
      </c>
      <c r="O263" s="55">
        <f t="shared" si="121"/>
        <v>0</v>
      </c>
      <c r="P263" s="55">
        <f t="shared" si="121"/>
        <v>19</v>
      </c>
      <c r="Q263" s="55">
        <f t="shared" si="121"/>
        <v>1</v>
      </c>
      <c r="R263" s="55">
        <f t="shared" si="121"/>
        <v>1</v>
      </c>
      <c r="S263" s="55">
        <f t="shared" si="121"/>
        <v>0</v>
      </c>
      <c r="T263" s="55">
        <f t="shared" si="121"/>
        <v>14</v>
      </c>
      <c r="U263" s="40">
        <f t="shared" si="120"/>
        <v>35</v>
      </c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</row>
    <row r="264">
      <c r="A264" s="56"/>
      <c r="B264" s="57" t="s">
        <v>90</v>
      </c>
      <c r="C264" s="58">
        <f t="shared" ref="C264:U264" si="122">C255+C263</f>
        <v>546</v>
      </c>
      <c r="D264" s="58">
        <f t="shared" si="122"/>
        <v>215</v>
      </c>
      <c r="E264" s="58">
        <f t="shared" si="122"/>
        <v>2</v>
      </c>
      <c r="F264" s="58">
        <f t="shared" si="122"/>
        <v>763</v>
      </c>
      <c r="G264" s="58">
        <f t="shared" si="122"/>
        <v>12</v>
      </c>
      <c r="H264" s="58">
        <f t="shared" si="122"/>
        <v>6</v>
      </c>
      <c r="I264" s="58">
        <f t="shared" si="122"/>
        <v>4</v>
      </c>
      <c r="J264" s="58">
        <f t="shared" si="122"/>
        <v>1</v>
      </c>
      <c r="K264" s="58">
        <f t="shared" si="122"/>
        <v>0</v>
      </c>
      <c r="L264" s="58">
        <f t="shared" si="122"/>
        <v>20</v>
      </c>
      <c r="M264" s="58">
        <f t="shared" si="122"/>
        <v>17</v>
      </c>
      <c r="N264" s="58">
        <f t="shared" si="122"/>
        <v>17</v>
      </c>
      <c r="O264" s="58">
        <f t="shared" si="122"/>
        <v>11</v>
      </c>
      <c r="P264" s="58">
        <f t="shared" si="122"/>
        <v>380</v>
      </c>
      <c r="Q264" s="58">
        <f t="shared" si="122"/>
        <v>8</v>
      </c>
      <c r="R264" s="58">
        <f t="shared" si="122"/>
        <v>163</v>
      </c>
      <c r="S264" s="58">
        <f t="shared" si="122"/>
        <v>4</v>
      </c>
      <c r="T264" s="58">
        <f t="shared" si="122"/>
        <v>190</v>
      </c>
      <c r="U264" s="40">
        <f t="shared" si="122"/>
        <v>833</v>
      </c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</row>
    <row r="265">
      <c r="A265" s="46">
        <v>46052.0</v>
      </c>
      <c r="B265" s="47" t="s">
        <v>42</v>
      </c>
      <c r="C265" s="49">
        <v>2.0</v>
      </c>
      <c r="D265" s="48"/>
      <c r="E265" s="48"/>
      <c r="F265" s="49">
        <f t="shared" ref="F265:F271" si="123">SUM(C265:E265)</f>
        <v>2</v>
      </c>
      <c r="G265" s="48"/>
      <c r="H265" s="48"/>
      <c r="I265" s="48"/>
      <c r="J265" s="48"/>
      <c r="K265" s="48"/>
      <c r="L265" s="48"/>
      <c r="M265" s="48"/>
      <c r="N265" s="48"/>
      <c r="O265" s="48"/>
      <c r="P265" s="49">
        <v>2.0</v>
      </c>
      <c r="Q265" s="48"/>
      <c r="R265" s="48"/>
      <c r="S265" s="48"/>
      <c r="T265" s="48"/>
      <c r="U265" s="40">
        <f t="shared" ref="U265:U272" si="124">sum(G265:T265)</f>
        <v>2</v>
      </c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</row>
    <row r="266">
      <c r="A266" s="50"/>
      <c r="B266" s="47" t="s">
        <v>85</v>
      </c>
      <c r="C266" s="49">
        <v>2.0</v>
      </c>
      <c r="D266" s="49">
        <v>1.0</v>
      </c>
      <c r="E266" s="48"/>
      <c r="F266" s="49">
        <f t="shared" si="123"/>
        <v>3</v>
      </c>
      <c r="G266" s="48"/>
      <c r="H266" s="48"/>
      <c r="I266" s="48"/>
      <c r="J266" s="48"/>
      <c r="K266" s="48"/>
      <c r="L266" s="48"/>
      <c r="M266" s="48"/>
      <c r="N266" s="48"/>
      <c r="O266" s="48"/>
      <c r="P266" s="49">
        <v>2.0</v>
      </c>
      <c r="Q266" s="48"/>
      <c r="R266" s="48"/>
      <c r="S266" s="48"/>
      <c r="T266" s="49">
        <v>2.0</v>
      </c>
      <c r="U266" s="40">
        <f t="shared" si="124"/>
        <v>4</v>
      </c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</row>
    <row r="267">
      <c r="A267" s="50"/>
      <c r="B267" s="47" t="s">
        <v>36</v>
      </c>
      <c r="C267" s="49">
        <v>17.0</v>
      </c>
      <c r="D267" s="49">
        <v>5.0</v>
      </c>
      <c r="E267" s="48"/>
      <c r="F267" s="49">
        <f t="shared" si="123"/>
        <v>22</v>
      </c>
      <c r="G267" s="48"/>
      <c r="H267" s="48"/>
      <c r="I267" s="48"/>
      <c r="J267" s="48"/>
      <c r="K267" s="48"/>
      <c r="L267" s="48"/>
      <c r="M267" s="48"/>
      <c r="N267" s="48"/>
      <c r="O267" s="49">
        <v>1.0</v>
      </c>
      <c r="P267" s="49">
        <v>18.0</v>
      </c>
      <c r="Q267" s="48"/>
      <c r="R267" s="48"/>
      <c r="S267" s="48"/>
      <c r="T267" s="49">
        <v>3.0</v>
      </c>
      <c r="U267" s="40">
        <f t="shared" si="124"/>
        <v>22</v>
      </c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</row>
    <row r="268">
      <c r="A268" s="50"/>
      <c r="B268" s="47" t="s">
        <v>29</v>
      </c>
      <c r="C268" s="48"/>
      <c r="D268" s="48"/>
      <c r="E268" s="48"/>
      <c r="F268" s="49">
        <f t="shared" si="123"/>
        <v>0</v>
      </c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0">
        <f t="shared" si="124"/>
        <v>0</v>
      </c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</row>
    <row r="269">
      <c r="A269" s="50"/>
      <c r="B269" s="47" t="s">
        <v>86</v>
      </c>
      <c r="C269" s="48"/>
      <c r="D269" s="49">
        <v>1.0</v>
      </c>
      <c r="E269" s="48"/>
      <c r="F269" s="49">
        <f t="shared" si="123"/>
        <v>1</v>
      </c>
      <c r="G269" s="48"/>
      <c r="H269" s="49">
        <v>1.0</v>
      </c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51">
        <f t="shared" si="124"/>
        <v>1</v>
      </c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</row>
    <row r="270">
      <c r="A270" s="50"/>
      <c r="B270" s="52" t="s">
        <v>87</v>
      </c>
      <c r="C270" s="54">
        <v>3.0</v>
      </c>
      <c r="D270" s="54">
        <v>4.0</v>
      </c>
      <c r="E270" s="53"/>
      <c r="F270" s="54">
        <f t="shared" si="123"/>
        <v>7</v>
      </c>
      <c r="G270" s="53"/>
      <c r="H270" s="53"/>
      <c r="I270" s="54">
        <v>2.0</v>
      </c>
      <c r="J270" s="53"/>
      <c r="K270" s="53"/>
      <c r="L270" s="53"/>
      <c r="M270" s="53"/>
      <c r="N270" s="53"/>
      <c r="O270" s="53"/>
      <c r="P270" s="53"/>
      <c r="Q270" s="53"/>
      <c r="R270" s="54">
        <v>1.0</v>
      </c>
      <c r="S270" s="53"/>
      <c r="T270" s="54">
        <v>12.0</v>
      </c>
      <c r="U270" s="40">
        <f t="shared" si="124"/>
        <v>15</v>
      </c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</row>
    <row r="271">
      <c r="A271" s="50"/>
      <c r="B271" s="52" t="s">
        <v>88</v>
      </c>
      <c r="C271" s="53"/>
      <c r="D271" s="53"/>
      <c r="E271" s="53"/>
      <c r="F271" s="54">
        <f t="shared" si="123"/>
        <v>0</v>
      </c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40">
        <f t="shared" si="124"/>
        <v>0</v>
      </c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</row>
    <row r="272">
      <c r="A272" s="50"/>
      <c r="B272" s="55" t="s">
        <v>89</v>
      </c>
      <c r="C272" s="55">
        <f t="shared" ref="C272:T272" si="125">SUM(C265:C271)</f>
        <v>24</v>
      </c>
      <c r="D272" s="55">
        <f t="shared" si="125"/>
        <v>11</v>
      </c>
      <c r="E272" s="55">
        <f t="shared" si="125"/>
        <v>0</v>
      </c>
      <c r="F272" s="55">
        <f t="shared" si="125"/>
        <v>35</v>
      </c>
      <c r="G272" s="55">
        <f t="shared" si="125"/>
        <v>0</v>
      </c>
      <c r="H272" s="55">
        <f t="shared" si="125"/>
        <v>1</v>
      </c>
      <c r="I272" s="55">
        <f t="shared" si="125"/>
        <v>2</v>
      </c>
      <c r="J272" s="55">
        <f t="shared" si="125"/>
        <v>0</v>
      </c>
      <c r="K272" s="55">
        <f t="shared" si="125"/>
        <v>0</v>
      </c>
      <c r="L272" s="55">
        <f t="shared" si="125"/>
        <v>0</v>
      </c>
      <c r="M272" s="55">
        <f t="shared" si="125"/>
        <v>0</v>
      </c>
      <c r="N272" s="55">
        <f t="shared" si="125"/>
        <v>0</v>
      </c>
      <c r="O272" s="55">
        <f t="shared" si="125"/>
        <v>1</v>
      </c>
      <c r="P272" s="55">
        <f t="shared" si="125"/>
        <v>22</v>
      </c>
      <c r="Q272" s="55">
        <f t="shared" si="125"/>
        <v>0</v>
      </c>
      <c r="R272" s="55">
        <f t="shared" si="125"/>
        <v>1</v>
      </c>
      <c r="S272" s="55">
        <f t="shared" si="125"/>
        <v>0</v>
      </c>
      <c r="T272" s="55">
        <f t="shared" si="125"/>
        <v>17</v>
      </c>
      <c r="U272" s="40">
        <f t="shared" si="124"/>
        <v>44</v>
      </c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</row>
    <row r="273">
      <c r="A273" s="56"/>
      <c r="B273" s="57" t="s">
        <v>90</v>
      </c>
      <c r="C273" s="58">
        <f t="shared" ref="C273:U273" si="126">C264+C272</f>
        <v>570</v>
      </c>
      <c r="D273" s="58">
        <f t="shared" si="126"/>
        <v>226</v>
      </c>
      <c r="E273" s="58">
        <f t="shared" si="126"/>
        <v>2</v>
      </c>
      <c r="F273" s="58">
        <f t="shared" si="126"/>
        <v>798</v>
      </c>
      <c r="G273" s="58">
        <f t="shared" si="126"/>
        <v>12</v>
      </c>
      <c r="H273" s="58">
        <f t="shared" si="126"/>
        <v>7</v>
      </c>
      <c r="I273" s="58">
        <f t="shared" si="126"/>
        <v>6</v>
      </c>
      <c r="J273" s="58">
        <f t="shared" si="126"/>
        <v>1</v>
      </c>
      <c r="K273" s="58">
        <f t="shared" si="126"/>
        <v>0</v>
      </c>
      <c r="L273" s="58">
        <f t="shared" si="126"/>
        <v>20</v>
      </c>
      <c r="M273" s="58">
        <f t="shared" si="126"/>
        <v>17</v>
      </c>
      <c r="N273" s="58">
        <f t="shared" si="126"/>
        <v>17</v>
      </c>
      <c r="O273" s="58">
        <f t="shared" si="126"/>
        <v>12</v>
      </c>
      <c r="P273" s="58">
        <f t="shared" si="126"/>
        <v>402</v>
      </c>
      <c r="Q273" s="58">
        <f t="shared" si="126"/>
        <v>8</v>
      </c>
      <c r="R273" s="58">
        <f t="shared" si="126"/>
        <v>164</v>
      </c>
      <c r="S273" s="58">
        <f t="shared" si="126"/>
        <v>4</v>
      </c>
      <c r="T273" s="58">
        <f t="shared" si="126"/>
        <v>207</v>
      </c>
      <c r="U273" s="40">
        <f t="shared" si="126"/>
        <v>877</v>
      </c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</row>
    <row r="274">
      <c r="A274" s="46">
        <v>46053.0</v>
      </c>
      <c r="B274" s="47" t="s">
        <v>42</v>
      </c>
      <c r="C274" s="48"/>
      <c r="D274" s="48"/>
      <c r="E274" s="48"/>
      <c r="F274" s="49">
        <f t="shared" ref="F274:F280" si="127">SUM(C274:E274)</f>
        <v>0</v>
      </c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0">
        <f t="shared" ref="U274:U281" si="128">sum(G274:T274)</f>
        <v>0</v>
      </c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</row>
    <row r="275">
      <c r="A275" s="50"/>
      <c r="B275" s="47" t="s">
        <v>85</v>
      </c>
      <c r="C275" s="49">
        <v>1.0</v>
      </c>
      <c r="D275" s="48"/>
      <c r="E275" s="48"/>
      <c r="F275" s="49">
        <f t="shared" si="127"/>
        <v>1</v>
      </c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9">
        <v>1.0</v>
      </c>
      <c r="U275" s="40">
        <f t="shared" si="128"/>
        <v>1</v>
      </c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</row>
    <row r="276">
      <c r="A276" s="50"/>
      <c r="B276" s="47" t="s">
        <v>36</v>
      </c>
      <c r="C276" s="48"/>
      <c r="D276" s="48"/>
      <c r="E276" s="48"/>
      <c r="F276" s="49">
        <f t="shared" si="127"/>
        <v>0</v>
      </c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0">
        <f t="shared" si="128"/>
        <v>0</v>
      </c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</row>
    <row r="277">
      <c r="A277" s="50"/>
      <c r="B277" s="47" t="s">
        <v>29</v>
      </c>
      <c r="C277" s="49">
        <v>9.0</v>
      </c>
      <c r="D277" s="49">
        <v>3.0</v>
      </c>
      <c r="E277" s="48"/>
      <c r="F277" s="49">
        <f t="shared" si="127"/>
        <v>12</v>
      </c>
      <c r="G277" s="48"/>
      <c r="H277" s="48"/>
      <c r="I277" s="48"/>
      <c r="J277" s="48"/>
      <c r="K277" s="48"/>
      <c r="L277" s="48"/>
      <c r="M277" s="48"/>
      <c r="N277" s="48"/>
      <c r="O277" s="48"/>
      <c r="P277" s="49">
        <v>12.0</v>
      </c>
      <c r="Q277" s="48"/>
      <c r="R277" s="48"/>
      <c r="S277" s="48"/>
      <c r="T277" s="48"/>
      <c r="U277" s="40">
        <f t="shared" si="128"/>
        <v>12</v>
      </c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</row>
    <row r="278">
      <c r="A278" s="50"/>
      <c r="B278" s="47" t="s">
        <v>86</v>
      </c>
      <c r="C278" s="49">
        <v>3.0</v>
      </c>
      <c r="D278" s="48"/>
      <c r="E278" s="48"/>
      <c r="F278" s="49">
        <f t="shared" si="127"/>
        <v>3</v>
      </c>
      <c r="G278" s="48"/>
      <c r="H278" s="49">
        <v>1.0</v>
      </c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9">
        <v>2.0</v>
      </c>
      <c r="T278" s="49">
        <v>1.0</v>
      </c>
      <c r="U278" s="51">
        <f t="shared" si="128"/>
        <v>4</v>
      </c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</row>
    <row r="279">
      <c r="A279" s="50"/>
      <c r="B279" s="52" t="s">
        <v>87</v>
      </c>
      <c r="C279" s="53"/>
      <c r="D279" s="53"/>
      <c r="E279" s="53"/>
      <c r="F279" s="54">
        <f t="shared" si="127"/>
        <v>0</v>
      </c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40">
        <f t="shared" si="128"/>
        <v>0</v>
      </c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</row>
    <row r="280">
      <c r="A280" s="50"/>
      <c r="B280" s="52" t="s">
        <v>88</v>
      </c>
      <c r="C280" s="53"/>
      <c r="D280" s="53"/>
      <c r="E280" s="53"/>
      <c r="F280" s="54">
        <f t="shared" si="127"/>
        <v>0</v>
      </c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40">
        <f t="shared" si="128"/>
        <v>0</v>
      </c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</row>
    <row r="281">
      <c r="A281" s="50"/>
      <c r="B281" s="55" t="s">
        <v>89</v>
      </c>
      <c r="C281" s="55">
        <f t="shared" ref="C281:T281" si="129">SUM(C274:C280)</f>
        <v>13</v>
      </c>
      <c r="D281" s="55">
        <f t="shared" si="129"/>
        <v>3</v>
      </c>
      <c r="E281" s="55">
        <f t="shared" si="129"/>
        <v>0</v>
      </c>
      <c r="F281" s="55">
        <f t="shared" si="129"/>
        <v>16</v>
      </c>
      <c r="G281" s="55">
        <f t="shared" si="129"/>
        <v>0</v>
      </c>
      <c r="H281" s="55">
        <f t="shared" si="129"/>
        <v>1</v>
      </c>
      <c r="I281" s="55">
        <f t="shared" si="129"/>
        <v>0</v>
      </c>
      <c r="J281" s="55">
        <f t="shared" si="129"/>
        <v>0</v>
      </c>
      <c r="K281" s="55">
        <f t="shared" si="129"/>
        <v>0</v>
      </c>
      <c r="L281" s="55">
        <f t="shared" si="129"/>
        <v>0</v>
      </c>
      <c r="M281" s="55">
        <f t="shared" si="129"/>
        <v>0</v>
      </c>
      <c r="N281" s="55">
        <f t="shared" si="129"/>
        <v>0</v>
      </c>
      <c r="O281" s="55">
        <f t="shared" si="129"/>
        <v>0</v>
      </c>
      <c r="P281" s="55">
        <f t="shared" si="129"/>
        <v>12</v>
      </c>
      <c r="Q281" s="55">
        <f t="shared" si="129"/>
        <v>0</v>
      </c>
      <c r="R281" s="55">
        <f t="shared" si="129"/>
        <v>0</v>
      </c>
      <c r="S281" s="55">
        <f t="shared" si="129"/>
        <v>2</v>
      </c>
      <c r="T281" s="55">
        <f t="shared" si="129"/>
        <v>2</v>
      </c>
      <c r="U281" s="40">
        <f t="shared" si="128"/>
        <v>17</v>
      </c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</row>
    <row r="282">
      <c r="A282" s="56"/>
      <c r="B282" s="57" t="s">
        <v>90</v>
      </c>
      <c r="C282" s="58">
        <f t="shared" ref="C282:U282" si="130">C273+C281</f>
        <v>583</v>
      </c>
      <c r="D282" s="58">
        <f t="shared" si="130"/>
        <v>229</v>
      </c>
      <c r="E282" s="58">
        <f t="shared" si="130"/>
        <v>2</v>
      </c>
      <c r="F282" s="58">
        <f t="shared" si="130"/>
        <v>814</v>
      </c>
      <c r="G282" s="58">
        <f t="shared" si="130"/>
        <v>12</v>
      </c>
      <c r="H282" s="58">
        <f t="shared" si="130"/>
        <v>8</v>
      </c>
      <c r="I282" s="58">
        <f t="shared" si="130"/>
        <v>6</v>
      </c>
      <c r="J282" s="58">
        <f t="shared" si="130"/>
        <v>1</v>
      </c>
      <c r="K282" s="58">
        <f t="shared" si="130"/>
        <v>0</v>
      </c>
      <c r="L282" s="58">
        <f t="shared" si="130"/>
        <v>20</v>
      </c>
      <c r="M282" s="58">
        <f t="shared" si="130"/>
        <v>17</v>
      </c>
      <c r="N282" s="58">
        <f t="shared" si="130"/>
        <v>17</v>
      </c>
      <c r="O282" s="58">
        <f t="shared" si="130"/>
        <v>12</v>
      </c>
      <c r="P282" s="58">
        <f t="shared" si="130"/>
        <v>414</v>
      </c>
      <c r="Q282" s="58">
        <f t="shared" si="130"/>
        <v>8</v>
      </c>
      <c r="R282" s="58">
        <f t="shared" si="130"/>
        <v>164</v>
      </c>
      <c r="S282" s="58">
        <f t="shared" si="130"/>
        <v>6</v>
      </c>
      <c r="T282" s="58">
        <f t="shared" si="130"/>
        <v>209</v>
      </c>
      <c r="U282" s="40">
        <f t="shared" si="130"/>
        <v>894</v>
      </c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</row>
    <row r="283">
      <c r="A283" s="69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</row>
    <row r="284">
      <c r="A284" s="70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</row>
    <row r="285">
      <c r="A285" s="70"/>
      <c r="B285" s="71" t="s">
        <v>91</v>
      </c>
      <c r="C285" s="71" t="s">
        <v>75</v>
      </c>
      <c r="D285" s="71" t="s">
        <v>76</v>
      </c>
      <c r="E285" s="71" t="s">
        <v>77</v>
      </c>
      <c r="F285" s="71" t="s">
        <v>78</v>
      </c>
      <c r="G285" s="71" t="s">
        <v>33</v>
      </c>
      <c r="H285" s="71" t="s">
        <v>44</v>
      </c>
      <c r="I285" s="71" t="s">
        <v>61</v>
      </c>
      <c r="J285" s="71" t="s">
        <v>102</v>
      </c>
      <c r="K285" s="71" t="s">
        <v>80</v>
      </c>
      <c r="L285" s="71" t="s">
        <v>69</v>
      </c>
      <c r="M285" s="71" t="s">
        <v>20</v>
      </c>
      <c r="N285" s="71" t="s">
        <v>21</v>
      </c>
      <c r="O285" s="71" t="s">
        <v>81</v>
      </c>
      <c r="P285" s="71" t="s">
        <v>23</v>
      </c>
      <c r="Q285" s="71" t="s">
        <v>55</v>
      </c>
      <c r="R285" s="71" t="s">
        <v>82</v>
      </c>
      <c r="S285" s="71" t="s">
        <v>24</v>
      </c>
      <c r="T285" s="71" t="s">
        <v>83</v>
      </c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</row>
    <row r="286">
      <c r="A286" s="70"/>
      <c r="B286" s="47" t="s">
        <v>42</v>
      </c>
      <c r="C286" s="40">
        <f t="shared" ref="C286:T286" si="131">sum(C4,C13,C22,C31,C40,C49,C58,C67,C76,C85,C94,C103,C112,C121,C130,C139,C148,C157,C166,C175,C184,C193,C202,C211,C220,C229,C238,C247,C256,C265,C274)</f>
        <v>43</v>
      </c>
      <c r="D286" s="40">
        <f t="shared" si="131"/>
        <v>10</v>
      </c>
      <c r="E286" s="40">
        <f t="shared" si="131"/>
        <v>0</v>
      </c>
      <c r="F286" s="40">
        <f t="shared" si="131"/>
        <v>53</v>
      </c>
      <c r="G286" s="40">
        <f t="shared" si="131"/>
        <v>2</v>
      </c>
      <c r="H286" s="40">
        <f t="shared" si="131"/>
        <v>1</v>
      </c>
      <c r="I286" s="40">
        <f t="shared" si="131"/>
        <v>0</v>
      </c>
      <c r="J286" s="40">
        <f t="shared" si="131"/>
        <v>1</v>
      </c>
      <c r="K286" s="40">
        <f t="shared" si="131"/>
        <v>0</v>
      </c>
      <c r="L286" s="40">
        <f t="shared" si="131"/>
        <v>1</v>
      </c>
      <c r="M286" s="40">
        <f t="shared" si="131"/>
        <v>0</v>
      </c>
      <c r="N286" s="40">
        <f t="shared" si="131"/>
        <v>0</v>
      </c>
      <c r="O286" s="40">
        <f t="shared" si="131"/>
        <v>4</v>
      </c>
      <c r="P286" s="40">
        <f t="shared" si="131"/>
        <v>29</v>
      </c>
      <c r="Q286" s="40">
        <f t="shared" si="131"/>
        <v>1</v>
      </c>
      <c r="R286" s="40">
        <f t="shared" si="131"/>
        <v>0</v>
      </c>
      <c r="S286" s="40">
        <f t="shared" si="131"/>
        <v>0</v>
      </c>
      <c r="T286" s="40">
        <f t="shared" si="131"/>
        <v>16</v>
      </c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</row>
    <row r="287">
      <c r="A287" s="70"/>
      <c r="B287" s="47" t="s">
        <v>85</v>
      </c>
      <c r="C287" s="40">
        <f t="shared" ref="C287:K287" si="132">sum(C5,C14,C23,C32,C41,C50,C59,C68,C77,C86,C95,C104,C113,C122,C131,C140,C149,C158,C167,C176,C185,C194,C203,C212,C221,C230,C239,C248,C257,C266,C275)</f>
        <v>76</v>
      </c>
      <c r="D287" s="40">
        <f t="shared" si="132"/>
        <v>25</v>
      </c>
      <c r="E287" s="40">
        <f t="shared" si="132"/>
        <v>0</v>
      </c>
      <c r="F287" s="40">
        <f t="shared" si="132"/>
        <v>101</v>
      </c>
      <c r="G287" s="40">
        <f t="shared" si="132"/>
        <v>2</v>
      </c>
      <c r="H287" s="40">
        <f t="shared" si="132"/>
        <v>0</v>
      </c>
      <c r="I287" s="40">
        <f t="shared" si="132"/>
        <v>2</v>
      </c>
      <c r="J287" s="40">
        <f t="shared" si="132"/>
        <v>0</v>
      </c>
      <c r="K287" s="40">
        <f t="shared" si="132"/>
        <v>0</v>
      </c>
      <c r="L287" s="40">
        <f>sum(L5,L14,L23,L32,L41,L50,L59,L68,L77,L85,L95,L104,L113,L122,L131,L140,L149,L158,L167,L176,L185,L194,L203,L212,L221,L230,L239,L248,L257,L266,L275)</f>
        <v>1</v>
      </c>
      <c r="M287" s="40">
        <f t="shared" ref="M287:T287" si="133">sum(M5,M14,M23,M32,M41,M50,M59,M68,M77,M86,M95,M104,M113,M122,M131,M140,M149,M158,M167,M176,M185,M194,M203,M212,M221,M230,M239,M248,M257,M266,M275)</f>
        <v>0</v>
      </c>
      <c r="N287" s="40">
        <f t="shared" si="133"/>
        <v>0</v>
      </c>
      <c r="O287" s="40">
        <f t="shared" si="133"/>
        <v>1</v>
      </c>
      <c r="P287" s="40">
        <f t="shared" si="133"/>
        <v>71</v>
      </c>
      <c r="Q287" s="40">
        <f t="shared" si="133"/>
        <v>0</v>
      </c>
      <c r="R287" s="40">
        <f t="shared" si="133"/>
        <v>0</v>
      </c>
      <c r="S287" s="40">
        <f t="shared" si="133"/>
        <v>0</v>
      </c>
      <c r="T287" s="40">
        <f t="shared" si="133"/>
        <v>27</v>
      </c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</row>
    <row r="288">
      <c r="A288" s="70"/>
      <c r="B288" s="47" t="s">
        <v>36</v>
      </c>
      <c r="C288" s="40">
        <f t="shared" ref="C288:T288" si="134">sum(C6,C15,C24,C33,C42,C51,C60,C69,C78,C87,C96,C105,C114,C123,C132,C141,C150,C159,C168,C177,C186,C195,C204,C213,C222,C231,C240,C249,C258,C267,C276)</f>
        <v>101</v>
      </c>
      <c r="D288" s="40">
        <f t="shared" si="134"/>
        <v>33</v>
      </c>
      <c r="E288" s="40">
        <f t="shared" si="134"/>
        <v>2</v>
      </c>
      <c r="F288" s="40">
        <f t="shared" si="134"/>
        <v>136</v>
      </c>
      <c r="G288" s="40">
        <f t="shared" si="134"/>
        <v>2</v>
      </c>
      <c r="H288" s="40">
        <f t="shared" si="134"/>
        <v>4</v>
      </c>
      <c r="I288" s="40">
        <f t="shared" si="134"/>
        <v>1</v>
      </c>
      <c r="J288" s="40">
        <f t="shared" si="134"/>
        <v>0</v>
      </c>
      <c r="K288" s="40">
        <f t="shared" si="134"/>
        <v>0</v>
      </c>
      <c r="L288" s="40">
        <f t="shared" si="134"/>
        <v>5</v>
      </c>
      <c r="M288" s="40">
        <f t="shared" si="134"/>
        <v>0</v>
      </c>
      <c r="N288" s="40">
        <f t="shared" si="134"/>
        <v>0</v>
      </c>
      <c r="O288" s="40">
        <f t="shared" si="134"/>
        <v>3</v>
      </c>
      <c r="P288" s="40">
        <f t="shared" si="134"/>
        <v>83</v>
      </c>
      <c r="Q288" s="40">
        <f t="shared" si="134"/>
        <v>2</v>
      </c>
      <c r="R288" s="40">
        <f t="shared" si="134"/>
        <v>0</v>
      </c>
      <c r="S288" s="40">
        <f t="shared" si="134"/>
        <v>0</v>
      </c>
      <c r="T288" s="40">
        <f t="shared" si="134"/>
        <v>37</v>
      </c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</row>
    <row r="289">
      <c r="A289" s="70"/>
      <c r="B289" s="47" t="s">
        <v>29</v>
      </c>
      <c r="C289" s="40">
        <f t="shared" ref="C289:H289" si="135">sum(C7,C16,C25,C34,C43,C52,C61,C70,C79,C88,C97,C106,C115,C124,C133,C142,C151,C160,C169,C178,C187,C196,C205,C214,C223,C232,C241,C250,C259,C268,C277)</f>
        <v>188</v>
      </c>
      <c r="D289" s="40">
        <f t="shared" si="135"/>
        <v>73</v>
      </c>
      <c r="E289" s="40">
        <f t="shared" si="135"/>
        <v>0</v>
      </c>
      <c r="F289" s="40">
        <f t="shared" si="135"/>
        <v>261</v>
      </c>
      <c r="G289" s="40">
        <f t="shared" si="135"/>
        <v>0</v>
      </c>
      <c r="H289" s="40">
        <f t="shared" si="135"/>
        <v>0</v>
      </c>
      <c r="I289" s="40">
        <f>sum(I7,I16,I25,I34,I42,I52,I61,I70,I79,I88,I97,I106,I115,I124,I132,I142,I151,I160,I169,I178,I187,I196,I205,I214,I223,I232,I241,I250,I259,I268,I277)</f>
        <v>0</v>
      </c>
      <c r="J289" s="40">
        <f t="shared" ref="J289:M289" si="136">sum(J7,J16,J25,J34,J43,J52,J61,J70,J79,J88,J97,J106,J115,J124,J133,J142,J151,J160,J169,J178,J187,J196,J205,J214,J223,J232,J241,J250,J259,J268,J277)</f>
        <v>0</v>
      </c>
      <c r="K289" s="40">
        <f t="shared" si="136"/>
        <v>0</v>
      </c>
      <c r="L289" s="40">
        <f t="shared" si="136"/>
        <v>0</v>
      </c>
      <c r="M289" s="40">
        <f t="shared" si="136"/>
        <v>17</v>
      </c>
      <c r="N289" s="40">
        <f>sum(N7,N16,N25,N34,N43,N52,N61,N70,N79,N88,N97,N106,N115,N123,N133,N142,N151,N160,N169,N178,N187,N196,N205,N214,N223,N232,N241,N250,N259,N268,N277)</f>
        <v>8</v>
      </c>
      <c r="O289" s="40">
        <f t="shared" ref="O289:T289" si="137">sum(O7,O16,O25,O34,O43,O52,O61,O70,O79,O88,O97,O106,O115,O124,O133,O142,O151,O160,O169,O178,O187,O196,O205,O214,O223,O232,O241,O250,O259,O268,O277)</f>
        <v>0</v>
      </c>
      <c r="P289" s="40">
        <f t="shared" si="137"/>
        <v>104</v>
      </c>
      <c r="Q289" s="40">
        <f t="shared" si="137"/>
        <v>0</v>
      </c>
      <c r="R289" s="40">
        <f t="shared" si="137"/>
        <v>126</v>
      </c>
      <c r="S289" s="40">
        <f t="shared" si="137"/>
        <v>0</v>
      </c>
      <c r="T289" s="40">
        <f t="shared" si="137"/>
        <v>9</v>
      </c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</row>
    <row r="290">
      <c r="A290" s="70"/>
      <c r="B290" s="72" t="s">
        <v>86</v>
      </c>
      <c r="C290" s="40">
        <f t="shared" ref="C290:J290" si="138">sum(C8,C17,C26,C35,C44,C53,C62,C71,C80,C89,C98,C107,C116,C125,C134,C143,C152,C161,C170,C179,C188,C197,C206,C215,C224,C233,C242,C251,C260,C269,C278)</f>
        <v>108</v>
      </c>
      <c r="D290" s="40">
        <f t="shared" si="138"/>
        <v>44</v>
      </c>
      <c r="E290" s="40">
        <f t="shared" si="138"/>
        <v>0</v>
      </c>
      <c r="F290" s="40">
        <f t="shared" si="138"/>
        <v>152</v>
      </c>
      <c r="G290" s="40">
        <f t="shared" si="138"/>
        <v>0</v>
      </c>
      <c r="H290" s="40">
        <f t="shared" si="138"/>
        <v>2</v>
      </c>
      <c r="I290" s="40">
        <f t="shared" si="138"/>
        <v>1</v>
      </c>
      <c r="J290" s="40">
        <f t="shared" si="138"/>
        <v>0</v>
      </c>
      <c r="K290" s="40">
        <f>sum(K8,K17,K26,K35,K44,K53,K62,K71,K80,K89,K98,K107,K117,K125,K134,K143,K152,K161,K170,K179,K188,K197,K206,K215,K224,K233,K242,K251,K260,K269,K278)</f>
        <v>0</v>
      </c>
      <c r="L290" s="40">
        <f t="shared" ref="L290:T290" si="139">sum(L8,L17,L26,L35,L44,L53,L62,L71,L80,L89,L98,L107,L116,L125,L134,L143,L152,L161,L170,L179,L188,L197,L206,L215,L224,L233,L242,L251,L260,L269,L278)</f>
        <v>2</v>
      </c>
      <c r="M290" s="40">
        <f t="shared" si="139"/>
        <v>0</v>
      </c>
      <c r="N290" s="40">
        <f t="shared" si="139"/>
        <v>0</v>
      </c>
      <c r="O290" s="40">
        <f t="shared" si="139"/>
        <v>3</v>
      </c>
      <c r="P290" s="40">
        <f t="shared" si="139"/>
        <v>94</v>
      </c>
      <c r="Q290" s="40">
        <f t="shared" si="139"/>
        <v>1</v>
      </c>
      <c r="R290" s="40">
        <f t="shared" si="139"/>
        <v>27</v>
      </c>
      <c r="S290" s="40">
        <f t="shared" si="139"/>
        <v>6</v>
      </c>
      <c r="T290" s="40">
        <f t="shared" si="139"/>
        <v>19</v>
      </c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</row>
    <row r="291">
      <c r="A291" s="73"/>
      <c r="B291" s="72" t="s">
        <v>87</v>
      </c>
      <c r="C291" s="40">
        <f t="shared" ref="C291:T291" si="140">sum(C9,C18,C27,C36,C45,C54,C63,C72,C81,C90,C99,C108,C117,C126,C135,C144,C153,C162,C171,C180,C189,C198,C207,C216,C225,C234,C243,C252,C261,C270,C279)</f>
        <v>63</v>
      </c>
      <c r="D291" s="40">
        <f t="shared" si="140"/>
        <v>43</v>
      </c>
      <c r="E291" s="40">
        <f t="shared" si="140"/>
        <v>0</v>
      </c>
      <c r="F291" s="40">
        <f t="shared" si="140"/>
        <v>106</v>
      </c>
      <c r="G291" s="40">
        <f t="shared" si="140"/>
        <v>6</v>
      </c>
      <c r="H291" s="40">
        <f t="shared" si="140"/>
        <v>1</v>
      </c>
      <c r="I291" s="40">
        <f t="shared" si="140"/>
        <v>2</v>
      </c>
      <c r="J291" s="40">
        <f t="shared" si="140"/>
        <v>0</v>
      </c>
      <c r="K291" s="40">
        <f t="shared" si="140"/>
        <v>0</v>
      </c>
      <c r="L291" s="40">
        <f t="shared" si="140"/>
        <v>11</v>
      </c>
      <c r="M291" s="40">
        <f t="shared" si="140"/>
        <v>0</v>
      </c>
      <c r="N291" s="40">
        <f t="shared" si="140"/>
        <v>9</v>
      </c>
      <c r="O291" s="40">
        <f t="shared" si="140"/>
        <v>0</v>
      </c>
      <c r="P291" s="40">
        <f t="shared" si="140"/>
        <v>29</v>
      </c>
      <c r="Q291" s="40">
        <f t="shared" si="140"/>
        <v>4</v>
      </c>
      <c r="R291" s="40">
        <f t="shared" si="140"/>
        <v>11</v>
      </c>
      <c r="S291" s="40">
        <f t="shared" si="140"/>
        <v>0</v>
      </c>
      <c r="T291" s="40">
        <f t="shared" si="140"/>
        <v>101</v>
      </c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</row>
    <row r="292">
      <c r="A292" s="35"/>
      <c r="B292" s="72" t="s">
        <v>88</v>
      </c>
      <c r="C292" s="40">
        <f t="shared" ref="C292:T292" si="141">sum(C10,C19,C28,C37,C46,C55,C64,C73,C82,C91,C100,C109,C118,C127,C136,C145,C154,C163,C172,C181,C190,C199,C208,C217,C226,C235,C244,C253,C262,C271,C280)</f>
        <v>4</v>
      </c>
      <c r="D292" s="40">
        <f t="shared" si="141"/>
        <v>1</v>
      </c>
      <c r="E292" s="40">
        <f t="shared" si="141"/>
        <v>0</v>
      </c>
      <c r="F292" s="40">
        <f t="shared" si="141"/>
        <v>5</v>
      </c>
      <c r="G292" s="40">
        <f t="shared" si="141"/>
        <v>0</v>
      </c>
      <c r="H292" s="40">
        <f t="shared" si="141"/>
        <v>0</v>
      </c>
      <c r="I292" s="40">
        <f t="shared" si="141"/>
        <v>0</v>
      </c>
      <c r="J292" s="40">
        <f t="shared" si="141"/>
        <v>0</v>
      </c>
      <c r="K292" s="40">
        <f t="shared" si="141"/>
        <v>0</v>
      </c>
      <c r="L292" s="40">
        <f t="shared" si="141"/>
        <v>0</v>
      </c>
      <c r="M292" s="40">
        <f t="shared" si="141"/>
        <v>0</v>
      </c>
      <c r="N292" s="40">
        <f t="shared" si="141"/>
        <v>0</v>
      </c>
      <c r="O292" s="40">
        <f t="shared" si="141"/>
        <v>1</v>
      </c>
      <c r="P292" s="40">
        <f t="shared" si="141"/>
        <v>4</v>
      </c>
      <c r="Q292" s="40">
        <f t="shared" si="141"/>
        <v>0</v>
      </c>
      <c r="R292" s="40">
        <f t="shared" si="141"/>
        <v>0</v>
      </c>
      <c r="S292" s="40">
        <f t="shared" si="141"/>
        <v>0</v>
      </c>
      <c r="T292" s="40">
        <f t="shared" si="141"/>
        <v>0</v>
      </c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</row>
    <row r="293">
      <c r="A293" s="35"/>
      <c r="B293" s="72" t="s">
        <v>103</v>
      </c>
      <c r="C293" s="40">
        <f t="shared" ref="C293:T293" si="142">sum(C286:C292)</f>
        <v>583</v>
      </c>
      <c r="D293" s="40">
        <f t="shared" si="142"/>
        <v>229</v>
      </c>
      <c r="E293" s="40">
        <f t="shared" si="142"/>
        <v>2</v>
      </c>
      <c r="F293" s="40">
        <f t="shared" si="142"/>
        <v>814</v>
      </c>
      <c r="G293" s="40">
        <f t="shared" si="142"/>
        <v>12</v>
      </c>
      <c r="H293" s="40">
        <f t="shared" si="142"/>
        <v>8</v>
      </c>
      <c r="I293" s="40">
        <f t="shared" si="142"/>
        <v>6</v>
      </c>
      <c r="J293" s="40">
        <f t="shared" si="142"/>
        <v>1</v>
      </c>
      <c r="K293" s="40">
        <f t="shared" si="142"/>
        <v>0</v>
      </c>
      <c r="L293" s="40">
        <f t="shared" si="142"/>
        <v>20</v>
      </c>
      <c r="M293" s="40">
        <f t="shared" si="142"/>
        <v>17</v>
      </c>
      <c r="N293" s="40">
        <f t="shared" si="142"/>
        <v>17</v>
      </c>
      <c r="O293" s="40">
        <f t="shared" si="142"/>
        <v>12</v>
      </c>
      <c r="P293" s="40">
        <f t="shared" si="142"/>
        <v>414</v>
      </c>
      <c r="Q293" s="40">
        <f t="shared" si="142"/>
        <v>8</v>
      </c>
      <c r="R293" s="40">
        <f t="shared" si="142"/>
        <v>164</v>
      </c>
      <c r="S293" s="40">
        <f t="shared" si="142"/>
        <v>6</v>
      </c>
      <c r="T293" s="40">
        <f t="shared" si="142"/>
        <v>209</v>
      </c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</row>
    <row r="295">
      <c r="A295" s="35"/>
      <c r="B295" s="74" t="s">
        <v>104</v>
      </c>
      <c r="C295" s="4"/>
      <c r="D295" s="4"/>
      <c r="E295" s="4"/>
      <c r="F295" s="42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</row>
    <row r="296">
      <c r="A296" s="35"/>
      <c r="B296" s="75" t="s">
        <v>91</v>
      </c>
      <c r="C296" s="76" t="s">
        <v>105</v>
      </c>
      <c r="D296" s="42"/>
      <c r="E296" s="76" t="s">
        <v>106</v>
      </c>
      <c r="F296" s="42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</row>
    <row r="297">
      <c r="A297" s="35"/>
      <c r="B297" s="56"/>
      <c r="C297" s="77" t="s">
        <v>107</v>
      </c>
      <c r="D297" s="77" t="s">
        <v>3</v>
      </c>
      <c r="E297" s="77" t="s">
        <v>107</v>
      </c>
      <c r="F297" s="77" t="s">
        <v>3</v>
      </c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</row>
    <row r="298">
      <c r="A298" s="35"/>
      <c r="B298" s="47" t="s">
        <v>42</v>
      </c>
      <c r="C298" s="72">
        <f t="shared" ref="C298:C304" si="143">F286</f>
        <v>53</v>
      </c>
      <c r="D298" s="72">
        <f t="shared" ref="D298:D304" si="144">SUM(G286:T286)</f>
        <v>55</v>
      </c>
      <c r="E298" s="43"/>
      <c r="F298" s="43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</row>
    <row r="299">
      <c r="A299" s="35"/>
      <c r="B299" s="47" t="s">
        <v>85</v>
      </c>
      <c r="C299" s="72">
        <f t="shared" si="143"/>
        <v>101</v>
      </c>
      <c r="D299" s="72">
        <f t="shared" si="144"/>
        <v>104</v>
      </c>
      <c r="E299" s="43"/>
      <c r="F299" s="43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</row>
    <row r="300">
      <c r="A300" s="35"/>
      <c r="B300" s="47" t="s">
        <v>36</v>
      </c>
      <c r="C300" s="72">
        <f t="shared" si="143"/>
        <v>136</v>
      </c>
      <c r="D300" s="72">
        <f t="shared" si="144"/>
        <v>137</v>
      </c>
      <c r="E300" s="43"/>
      <c r="F300" s="43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</row>
    <row r="301">
      <c r="A301" s="35"/>
      <c r="B301" s="47" t="s">
        <v>29</v>
      </c>
      <c r="C301" s="72">
        <f t="shared" si="143"/>
        <v>261</v>
      </c>
      <c r="D301" s="72">
        <f t="shared" si="144"/>
        <v>264</v>
      </c>
      <c r="E301" s="43"/>
      <c r="F301" s="43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</row>
    <row r="302">
      <c r="A302" s="35"/>
      <c r="B302" s="47" t="s">
        <v>86</v>
      </c>
      <c r="C302" s="72">
        <f t="shared" si="143"/>
        <v>152</v>
      </c>
      <c r="D302" s="72">
        <f t="shared" si="144"/>
        <v>155</v>
      </c>
      <c r="E302" s="43"/>
      <c r="F302" s="43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</row>
    <row r="303">
      <c r="A303" s="35"/>
      <c r="B303" s="47" t="s">
        <v>87</v>
      </c>
      <c r="C303" s="72">
        <f t="shared" si="143"/>
        <v>106</v>
      </c>
      <c r="D303" s="72">
        <f t="shared" si="144"/>
        <v>174</v>
      </c>
      <c r="E303" s="43"/>
      <c r="F303" s="43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</row>
    <row r="304">
      <c r="A304" s="35"/>
      <c r="B304" s="47" t="s">
        <v>88</v>
      </c>
      <c r="C304" s="72">
        <f t="shared" si="143"/>
        <v>5</v>
      </c>
      <c r="D304" s="72">
        <f t="shared" si="144"/>
        <v>5</v>
      </c>
      <c r="E304" s="43"/>
      <c r="F304" s="43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</row>
    <row r="305">
      <c r="A305" s="35"/>
      <c r="B305" s="78" t="s">
        <v>103</v>
      </c>
      <c r="C305" s="72">
        <f t="shared" ref="C305:D305" si="145">sum(C298:C304)</f>
        <v>814</v>
      </c>
      <c r="D305" s="72">
        <f t="shared" si="145"/>
        <v>894</v>
      </c>
      <c r="E305" s="43"/>
      <c r="F305" s="43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</row>
  </sheetData>
  <mergeCells count="38">
    <mergeCell ref="C2:F2"/>
    <mergeCell ref="G2:O2"/>
    <mergeCell ref="P2:T2"/>
    <mergeCell ref="A4:A12"/>
    <mergeCell ref="A13:A21"/>
    <mergeCell ref="A22:A30"/>
    <mergeCell ref="A31:A39"/>
    <mergeCell ref="A40:A48"/>
    <mergeCell ref="A49:A57"/>
    <mergeCell ref="A58:A66"/>
    <mergeCell ref="A67:A75"/>
    <mergeCell ref="A76:A84"/>
    <mergeCell ref="A85:A93"/>
    <mergeCell ref="A94:A102"/>
    <mergeCell ref="A103:A111"/>
    <mergeCell ref="A112:A120"/>
    <mergeCell ref="A121:A129"/>
    <mergeCell ref="A130:A138"/>
    <mergeCell ref="A139:A147"/>
    <mergeCell ref="A148:A156"/>
    <mergeCell ref="A157:A165"/>
    <mergeCell ref="A166:A174"/>
    <mergeCell ref="A175:A183"/>
    <mergeCell ref="A184:A192"/>
    <mergeCell ref="A193:A201"/>
    <mergeCell ref="A202:A210"/>
    <mergeCell ref="A211:A219"/>
    <mergeCell ref="A220:A228"/>
    <mergeCell ref="B296:B297"/>
    <mergeCell ref="C296:D296"/>
    <mergeCell ref="E296:F296"/>
    <mergeCell ref="A229:A237"/>
    <mergeCell ref="A238:A246"/>
    <mergeCell ref="A247:A255"/>
    <mergeCell ref="A256:A264"/>
    <mergeCell ref="A265:A273"/>
    <mergeCell ref="A274:A282"/>
    <mergeCell ref="B295:F2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3" width="22.63"/>
    <col customWidth="1" min="4" max="4" width="52.63"/>
    <col customWidth="1" min="6" max="6" width="16.38"/>
    <col customWidth="1" min="7" max="7" width="21.38"/>
    <col customWidth="1" min="8" max="8" width="8.88"/>
    <col customWidth="1" min="9" max="9" width="35.13"/>
  </cols>
  <sheetData>
    <row r="1">
      <c r="A1" s="79" t="s">
        <v>91</v>
      </c>
      <c r="B1" s="79" t="s">
        <v>108</v>
      </c>
      <c r="C1" s="79" t="s">
        <v>109</v>
      </c>
      <c r="D1" s="79" t="s">
        <v>110</v>
      </c>
      <c r="F1" s="79" t="s">
        <v>111</v>
      </c>
      <c r="G1" s="79" t="s">
        <v>112</v>
      </c>
      <c r="H1" s="79" t="s">
        <v>113</v>
      </c>
      <c r="I1" s="79" t="s">
        <v>110</v>
      </c>
    </row>
    <row r="2">
      <c r="A2" s="80" t="s">
        <v>114</v>
      </c>
      <c r="B2" s="80" t="s">
        <v>115</v>
      </c>
      <c r="C2" s="80" t="s">
        <v>116</v>
      </c>
      <c r="D2" s="80" t="s">
        <v>117</v>
      </c>
      <c r="F2" s="80" t="s">
        <v>11</v>
      </c>
      <c r="G2" s="80" t="s">
        <v>32</v>
      </c>
      <c r="H2" s="80" t="s">
        <v>118</v>
      </c>
    </row>
    <row r="3">
      <c r="A3" s="80" t="s">
        <v>114</v>
      </c>
      <c r="B3" s="80" t="s">
        <v>119</v>
      </c>
      <c r="C3" s="80" t="s">
        <v>120</v>
      </c>
      <c r="D3" s="80" t="s">
        <v>121</v>
      </c>
      <c r="F3" s="80" t="s">
        <v>11</v>
      </c>
      <c r="G3" s="80" t="s">
        <v>122</v>
      </c>
      <c r="H3" s="80" t="s">
        <v>118</v>
      </c>
    </row>
    <row r="4">
      <c r="A4" s="80" t="s">
        <v>114</v>
      </c>
      <c r="B4" s="80" t="s">
        <v>123</v>
      </c>
      <c r="C4" s="80" t="b">
        <v>1</v>
      </c>
      <c r="D4" s="80" t="s">
        <v>124</v>
      </c>
      <c r="F4" s="80" t="s">
        <v>11</v>
      </c>
      <c r="G4" s="80" t="s">
        <v>25</v>
      </c>
      <c r="H4" s="80" t="s">
        <v>118</v>
      </c>
    </row>
    <row r="5">
      <c r="A5" s="80" t="s">
        <v>125</v>
      </c>
      <c r="B5" s="80" t="s">
        <v>126</v>
      </c>
      <c r="C5" s="80" t="s">
        <v>127</v>
      </c>
      <c r="D5" s="80" t="s">
        <v>128</v>
      </c>
      <c r="F5" s="80" t="s">
        <v>12</v>
      </c>
      <c r="G5" s="80" t="s">
        <v>33</v>
      </c>
      <c r="H5" s="80" t="s">
        <v>118</v>
      </c>
    </row>
    <row r="6">
      <c r="F6" s="80" t="s">
        <v>12</v>
      </c>
      <c r="G6" s="80" t="s">
        <v>129</v>
      </c>
      <c r="H6" s="80" t="s">
        <v>118</v>
      </c>
    </row>
    <row r="7">
      <c r="F7" s="80" t="s">
        <v>12</v>
      </c>
      <c r="G7" s="80" t="s">
        <v>130</v>
      </c>
      <c r="H7" s="80" t="s">
        <v>118</v>
      </c>
    </row>
    <row r="8">
      <c r="F8" s="80" t="s">
        <v>12</v>
      </c>
      <c r="G8" s="80" t="s">
        <v>44</v>
      </c>
      <c r="H8" s="80" t="s">
        <v>118</v>
      </c>
    </row>
    <row r="9">
      <c r="F9" s="80" t="s">
        <v>12</v>
      </c>
      <c r="G9" s="80" t="s">
        <v>25</v>
      </c>
      <c r="H9" s="80" t="s">
        <v>118</v>
      </c>
    </row>
    <row r="10">
      <c r="F10" s="80" t="s">
        <v>14</v>
      </c>
      <c r="G10" s="80" t="s">
        <v>35</v>
      </c>
      <c r="H10" s="80" t="s">
        <v>118</v>
      </c>
    </row>
    <row r="11">
      <c r="F11" s="80" t="s">
        <v>14</v>
      </c>
      <c r="G11" s="80" t="s">
        <v>46</v>
      </c>
      <c r="H11" s="80" t="s">
        <v>118</v>
      </c>
    </row>
    <row r="12">
      <c r="F12" s="80" t="s">
        <v>14</v>
      </c>
      <c r="G12" s="80" t="s">
        <v>25</v>
      </c>
      <c r="H12" s="80" t="s">
        <v>118</v>
      </c>
    </row>
    <row r="13">
      <c r="F13" s="80" t="s">
        <v>16</v>
      </c>
      <c r="G13" s="80" t="s">
        <v>131</v>
      </c>
      <c r="H13" s="80" t="s">
        <v>118</v>
      </c>
    </row>
    <row r="14">
      <c r="F14" s="80" t="s">
        <v>16</v>
      </c>
      <c r="G14" s="80" t="s">
        <v>132</v>
      </c>
      <c r="H14" s="80" t="s">
        <v>118</v>
      </c>
    </row>
    <row r="15">
      <c r="F15" s="80" t="s">
        <v>16</v>
      </c>
      <c r="G15" s="80" t="s">
        <v>133</v>
      </c>
      <c r="H15" s="80" t="s">
        <v>118</v>
      </c>
    </row>
    <row r="16">
      <c r="F16" s="80" t="s">
        <v>16</v>
      </c>
      <c r="G16" s="80" t="s">
        <v>64</v>
      </c>
      <c r="H16" s="80" t="s">
        <v>118</v>
      </c>
    </row>
    <row r="17">
      <c r="F17" s="80" t="s">
        <v>16</v>
      </c>
      <c r="G17" s="80" t="s">
        <v>25</v>
      </c>
      <c r="H17" s="80" t="s">
        <v>118</v>
      </c>
    </row>
    <row r="18">
      <c r="F18" s="80" t="s">
        <v>18</v>
      </c>
      <c r="G18" s="80" t="s">
        <v>41</v>
      </c>
      <c r="H18" s="80" t="s">
        <v>118</v>
      </c>
    </row>
    <row r="19">
      <c r="F19" s="80" t="s">
        <v>18</v>
      </c>
      <c r="G19" s="80" t="s">
        <v>58</v>
      </c>
      <c r="H19" s="80" t="s">
        <v>118</v>
      </c>
    </row>
    <row r="20">
      <c r="F20" s="80" t="s">
        <v>18</v>
      </c>
      <c r="G20" s="80" t="s">
        <v>25</v>
      </c>
      <c r="H20" s="80" t="s">
        <v>118</v>
      </c>
    </row>
    <row r="21">
      <c r="F21" s="80" t="s">
        <v>134</v>
      </c>
      <c r="G21" s="80" t="s">
        <v>20</v>
      </c>
      <c r="H21" s="80" t="s">
        <v>118</v>
      </c>
    </row>
    <row r="22">
      <c r="F22" s="80" t="s">
        <v>134</v>
      </c>
      <c r="G22" s="80" t="s">
        <v>21</v>
      </c>
      <c r="H22" s="80" t="s">
        <v>118</v>
      </c>
    </row>
    <row r="23">
      <c r="F23" s="80" t="s">
        <v>134</v>
      </c>
      <c r="G23" s="80" t="s">
        <v>22</v>
      </c>
      <c r="H23" s="80" t="s">
        <v>118</v>
      </c>
    </row>
    <row r="24">
      <c r="F24" s="80" t="s">
        <v>134</v>
      </c>
      <c r="G24" s="80" t="s">
        <v>23</v>
      </c>
      <c r="H24" s="80" t="s">
        <v>118</v>
      </c>
    </row>
    <row r="25">
      <c r="F25" s="80" t="s">
        <v>134</v>
      </c>
      <c r="G25" s="80" t="s">
        <v>24</v>
      </c>
      <c r="H25" s="80" t="s">
        <v>118</v>
      </c>
    </row>
    <row r="26">
      <c r="F26" s="80" t="s">
        <v>134</v>
      </c>
      <c r="G26" s="80" t="s">
        <v>25</v>
      </c>
      <c r="H26" s="80" t="s">
        <v>118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1.38"/>
    <col customWidth="1" min="3" max="3" width="13.88"/>
    <col customWidth="1" min="4" max="5" width="12.63"/>
    <col customWidth="1" min="6" max="6" width="13.88"/>
    <col customWidth="1" min="7" max="7" width="16.38"/>
    <col customWidth="1" min="8" max="8" width="10.13"/>
    <col customWidth="1" min="9" max="9" width="12.63"/>
    <col customWidth="1" min="10" max="11" width="18.88"/>
    <col customWidth="1" min="12" max="12" width="10.13"/>
  </cols>
  <sheetData>
    <row r="1">
      <c r="A1" s="79" t="s">
        <v>135</v>
      </c>
      <c r="B1" s="79" t="s">
        <v>136</v>
      </c>
      <c r="C1" s="81" t="s">
        <v>6</v>
      </c>
      <c r="D1" s="79" t="s">
        <v>7</v>
      </c>
      <c r="E1" s="79" t="s">
        <v>8</v>
      </c>
      <c r="F1" s="79" t="s">
        <v>137</v>
      </c>
      <c r="G1" s="79" t="s">
        <v>138</v>
      </c>
      <c r="H1" s="79" t="s">
        <v>10</v>
      </c>
      <c r="I1" s="79" t="s">
        <v>11</v>
      </c>
      <c r="J1" s="82" t="s">
        <v>139</v>
      </c>
      <c r="K1" s="82" t="s">
        <v>140</v>
      </c>
      <c r="L1" s="79" t="s">
        <v>141</v>
      </c>
    </row>
    <row r="2">
      <c r="A2" s="80" t="s">
        <v>142</v>
      </c>
      <c r="B2" s="83">
        <v>3.0</v>
      </c>
      <c r="C2" s="84">
        <v>46098.0</v>
      </c>
      <c r="D2" s="80" t="s">
        <v>29</v>
      </c>
      <c r="E2" s="80" t="s">
        <v>30</v>
      </c>
      <c r="F2" s="80">
        <v>911111.0</v>
      </c>
      <c r="G2" s="80">
        <v>911111.0</v>
      </c>
      <c r="H2" s="80" t="s">
        <v>31</v>
      </c>
      <c r="I2" s="80" t="s">
        <v>32</v>
      </c>
      <c r="J2" s="85">
        <v>46099.4083687963</v>
      </c>
      <c r="K2" s="85">
        <v>46099.4083687963</v>
      </c>
      <c r="L2" s="80" t="b">
        <v>1</v>
      </c>
    </row>
    <row r="3">
      <c r="A3" s="80" t="s">
        <v>143</v>
      </c>
      <c r="B3" s="83">
        <v>4.0</v>
      </c>
      <c r="C3" s="84">
        <v>46098.0</v>
      </c>
      <c r="D3" s="80" t="s">
        <v>36</v>
      </c>
      <c r="E3" s="80" t="s">
        <v>37</v>
      </c>
      <c r="F3" s="80">
        <v>811111.0</v>
      </c>
      <c r="G3" s="80">
        <v>811111.0</v>
      </c>
      <c r="H3" s="80" t="s">
        <v>31</v>
      </c>
      <c r="I3" s="80" t="s">
        <v>38</v>
      </c>
      <c r="J3" s="85">
        <v>46099.4083687963</v>
      </c>
      <c r="K3" s="85">
        <v>46099.4083687963</v>
      </c>
      <c r="L3" s="80" t="b">
        <v>1</v>
      </c>
    </row>
    <row r="4">
      <c r="A4" s="80" t="s">
        <v>144</v>
      </c>
      <c r="B4" s="83">
        <v>5.0</v>
      </c>
      <c r="C4" s="84">
        <v>46098.0</v>
      </c>
      <c r="D4" s="80" t="s">
        <v>42</v>
      </c>
      <c r="E4" s="80" t="s">
        <v>43</v>
      </c>
      <c r="F4" s="80">
        <v>711111.0</v>
      </c>
      <c r="G4" s="80">
        <v>711111.0</v>
      </c>
      <c r="H4" s="80" t="s">
        <v>31</v>
      </c>
      <c r="I4" s="80" t="s">
        <v>32</v>
      </c>
      <c r="J4" s="85">
        <v>46099.4083687963</v>
      </c>
      <c r="K4" s="85">
        <v>46099.4083687963</v>
      </c>
      <c r="L4" s="80" t="b">
        <v>1</v>
      </c>
    </row>
    <row r="5">
      <c r="A5" s="80" t="s">
        <v>145</v>
      </c>
      <c r="B5" s="83">
        <v>6.0</v>
      </c>
      <c r="C5" s="84">
        <v>46099.0</v>
      </c>
      <c r="D5" s="80" t="s">
        <v>29</v>
      </c>
      <c r="E5" s="80" t="s">
        <v>30</v>
      </c>
      <c r="F5" s="80">
        <v>91111.0</v>
      </c>
      <c r="G5" s="80">
        <v>91111.0</v>
      </c>
      <c r="H5" s="80" t="s">
        <v>31</v>
      </c>
      <c r="I5" s="80" t="s">
        <v>32</v>
      </c>
      <c r="J5" s="85">
        <v>46099.4083687963</v>
      </c>
      <c r="K5" s="85">
        <v>46099.4083687963</v>
      </c>
      <c r="L5" s="80" t="b">
        <v>1</v>
      </c>
    </row>
    <row r="6">
      <c r="A6" s="80" t="s">
        <v>146</v>
      </c>
      <c r="B6" s="83">
        <v>7.0</v>
      </c>
      <c r="C6" s="84">
        <v>46099.0</v>
      </c>
      <c r="D6" s="80" t="s">
        <v>29</v>
      </c>
      <c r="E6" s="80" t="s">
        <v>30</v>
      </c>
      <c r="F6" s="80">
        <v>91111.0</v>
      </c>
      <c r="G6" s="80">
        <v>91111.0</v>
      </c>
      <c r="H6" s="80" t="s">
        <v>31</v>
      </c>
      <c r="I6" s="80" t="s">
        <v>32</v>
      </c>
      <c r="J6" s="85">
        <v>46099.4083687963</v>
      </c>
      <c r="K6" s="85">
        <v>46099.4083687963</v>
      </c>
      <c r="L6" s="80" t="b">
        <v>1</v>
      </c>
    </row>
    <row r="7">
      <c r="A7" s="80" t="s">
        <v>147</v>
      </c>
      <c r="B7" s="83">
        <v>17.0</v>
      </c>
      <c r="C7" s="84" t="s">
        <v>48</v>
      </c>
      <c r="D7" s="80" t="s">
        <v>48</v>
      </c>
      <c r="E7" s="80" t="s">
        <v>48</v>
      </c>
      <c r="F7" s="80" t="s">
        <v>48</v>
      </c>
      <c r="G7" s="80" t="s">
        <v>48</v>
      </c>
      <c r="H7" s="80" t="s">
        <v>49</v>
      </c>
      <c r="I7" s="80" t="s">
        <v>49</v>
      </c>
      <c r="J7" s="85">
        <v>46099.4083687963</v>
      </c>
      <c r="K7" s="85">
        <v>46099.4083687963</v>
      </c>
      <c r="L7" s="80" t="b">
        <v>0</v>
      </c>
    </row>
    <row r="8">
      <c r="C8" s="86"/>
      <c r="J8" s="87"/>
      <c r="K8" s="87"/>
    </row>
    <row r="9">
      <c r="C9" s="86"/>
      <c r="J9" s="87"/>
      <c r="K9" s="87"/>
    </row>
    <row r="10">
      <c r="C10" s="86"/>
      <c r="J10" s="87"/>
      <c r="K10" s="87"/>
    </row>
    <row r="11">
      <c r="C11" s="86"/>
      <c r="J11" s="87"/>
      <c r="K11" s="87"/>
    </row>
    <row r="12">
      <c r="C12" s="86"/>
      <c r="J12" s="87"/>
      <c r="K12" s="87"/>
    </row>
    <row r="13">
      <c r="C13" s="86"/>
      <c r="J13" s="87"/>
      <c r="K13" s="87"/>
    </row>
    <row r="14">
      <c r="C14" s="86"/>
      <c r="J14" s="87"/>
      <c r="K14" s="87"/>
    </row>
    <row r="15">
      <c r="C15" s="86"/>
      <c r="J15" s="87"/>
      <c r="K15" s="87"/>
    </row>
    <row r="16">
      <c r="C16" s="86"/>
      <c r="J16" s="87"/>
      <c r="K16" s="87"/>
    </row>
    <row r="17">
      <c r="C17" s="86"/>
      <c r="J17" s="87"/>
      <c r="K17" s="87"/>
    </row>
    <row r="18">
      <c r="C18" s="86"/>
      <c r="J18" s="87"/>
      <c r="K18" s="87"/>
    </row>
    <row r="19">
      <c r="C19" s="86"/>
      <c r="J19" s="87"/>
      <c r="K19" s="87"/>
    </row>
    <row r="20">
      <c r="C20" s="86"/>
      <c r="J20" s="87"/>
      <c r="K20" s="87"/>
    </row>
    <row r="21">
      <c r="C21" s="86"/>
      <c r="J21" s="87"/>
      <c r="K21" s="87"/>
    </row>
    <row r="22">
      <c r="C22" s="86"/>
      <c r="J22" s="87"/>
      <c r="K22" s="87"/>
    </row>
    <row r="23">
      <c r="C23" s="86"/>
      <c r="J23" s="87"/>
      <c r="K23" s="87"/>
    </row>
    <row r="24">
      <c r="C24" s="86"/>
      <c r="J24" s="87"/>
      <c r="K24" s="87"/>
    </row>
    <row r="25">
      <c r="C25" s="86"/>
      <c r="J25" s="87"/>
      <c r="K25" s="87"/>
    </row>
    <row r="26">
      <c r="C26" s="86"/>
      <c r="J26" s="87"/>
      <c r="K26" s="87"/>
    </row>
    <row r="27">
      <c r="C27" s="86"/>
      <c r="J27" s="87"/>
      <c r="K27" s="87"/>
    </row>
    <row r="28">
      <c r="C28" s="86"/>
      <c r="J28" s="87"/>
      <c r="K28" s="87"/>
    </row>
    <row r="29">
      <c r="C29" s="86"/>
      <c r="J29" s="87"/>
      <c r="K29" s="87"/>
    </row>
    <row r="30">
      <c r="C30" s="86"/>
      <c r="J30" s="87"/>
      <c r="K30" s="87"/>
    </row>
    <row r="31">
      <c r="C31" s="86"/>
      <c r="J31" s="87"/>
      <c r="K31" s="87"/>
    </row>
    <row r="32">
      <c r="C32" s="86"/>
      <c r="J32" s="87"/>
      <c r="K32" s="87"/>
    </row>
    <row r="33">
      <c r="C33" s="86"/>
      <c r="J33" s="87"/>
      <c r="K33" s="87"/>
    </row>
    <row r="34">
      <c r="C34" s="86"/>
      <c r="J34" s="87"/>
      <c r="K34" s="87"/>
    </row>
    <row r="35">
      <c r="C35" s="86"/>
      <c r="J35" s="87"/>
      <c r="K35" s="87"/>
    </row>
    <row r="36">
      <c r="C36" s="86"/>
      <c r="J36" s="87"/>
      <c r="K36" s="87"/>
    </row>
    <row r="37">
      <c r="C37" s="86"/>
      <c r="J37" s="87"/>
      <c r="K37" s="87"/>
    </row>
    <row r="38">
      <c r="C38" s="86"/>
      <c r="J38" s="87"/>
      <c r="K38" s="87"/>
    </row>
    <row r="39">
      <c r="C39" s="86"/>
      <c r="J39" s="87"/>
      <c r="K39" s="87"/>
    </row>
    <row r="40">
      <c r="C40" s="86"/>
      <c r="J40" s="87"/>
      <c r="K40" s="87"/>
    </row>
    <row r="41">
      <c r="C41" s="86"/>
      <c r="J41" s="87"/>
      <c r="K41" s="87"/>
    </row>
    <row r="42">
      <c r="C42" s="86"/>
      <c r="J42" s="87"/>
      <c r="K42" s="87"/>
    </row>
    <row r="43">
      <c r="C43" s="86"/>
      <c r="J43" s="87"/>
      <c r="K43" s="87"/>
    </row>
    <row r="44">
      <c r="C44" s="86"/>
      <c r="J44" s="87"/>
      <c r="K44" s="87"/>
    </row>
    <row r="45">
      <c r="C45" s="86"/>
      <c r="J45" s="87"/>
      <c r="K45" s="87"/>
    </row>
    <row r="46">
      <c r="C46" s="86"/>
      <c r="J46" s="87"/>
      <c r="K46" s="87"/>
    </row>
    <row r="47">
      <c r="C47" s="86"/>
      <c r="J47" s="87"/>
      <c r="K47" s="87"/>
    </row>
    <row r="48">
      <c r="C48" s="86"/>
      <c r="J48" s="87"/>
      <c r="K48" s="87"/>
    </row>
    <row r="49">
      <c r="C49" s="86"/>
      <c r="J49" s="87"/>
      <c r="K49" s="87"/>
    </row>
    <row r="50">
      <c r="C50" s="86"/>
      <c r="J50" s="87"/>
      <c r="K50" s="87"/>
    </row>
    <row r="51">
      <c r="C51" s="86"/>
      <c r="J51" s="87"/>
      <c r="K51" s="87"/>
    </row>
    <row r="52">
      <c r="C52" s="86"/>
      <c r="J52" s="87"/>
      <c r="K52" s="87"/>
    </row>
    <row r="53">
      <c r="C53" s="86"/>
      <c r="J53" s="87"/>
      <c r="K53" s="87"/>
    </row>
    <row r="54">
      <c r="C54" s="86"/>
      <c r="J54" s="87"/>
      <c r="K54" s="87"/>
    </row>
    <row r="55">
      <c r="C55" s="86"/>
      <c r="J55" s="87"/>
      <c r="K55" s="87"/>
    </row>
    <row r="56">
      <c r="C56" s="86"/>
      <c r="J56" s="87"/>
      <c r="K56" s="87"/>
    </row>
    <row r="57">
      <c r="C57" s="86"/>
      <c r="J57" s="87"/>
      <c r="K57" s="87"/>
    </row>
    <row r="58">
      <c r="C58" s="86"/>
      <c r="J58" s="87"/>
      <c r="K58" s="87"/>
    </row>
    <row r="59">
      <c r="C59" s="86"/>
      <c r="J59" s="87"/>
      <c r="K59" s="87"/>
    </row>
    <row r="60">
      <c r="C60" s="86"/>
      <c r="J60" s="87"/>
      <c r="K60" s="87"/>
    </row>
    <row r="61">
      <c r="C61" s="86"/>
      <c r="J61" s="87"/>
      <c r="K61" s="87"/>
    </row>
    <row r="62">
      <c r="C62" s="86"/>
      <c r="J62" s="87"/>
      <c r="K62" s="87"/>
    </row>
    <row r="63">
      <c r="C63" s="86"/>
      <c r="J63" s="87"/>
      <c r="K63" s="87"/>
    </row>
    <row r="64">
      <c r="C64" s="86"/>
      <c r="J64" s="87"/>
      <c r="K64" s="87"/>
    </row>
    <row r="65">
      <c r="C65" s="86"/>
      <c r="J65" s="87"/>
      <c r="K65" s="87"/>
    </row>
    <row r="66">
      <c r="C66" s="86"/>
      <c r="J66" s="87"/>
      <c r="K66" s="87"/>
    </row>
    <row r="67">
      <c r="C67" s="86"/>
      <c r="J67" s="87"/>
      <c r="K67" s="87"/>
    </row>
    <row r="68">
      <c r="C68" s="86"/>
      <c r="J68" s="87"/>
      <c r="K68" s="87"/>
    </row>
    <row r="69">
      <c r="C69" s="86"/>
      <c r="J69" s="87"/>
      <c r="K69" s="87"/>
    </row>
    <row r="70">
      <c r="C70" s="86"/>
      <c r="J70" s="87"/>
      <c r="K70" s="87"/>
    </row>
    <row r="71">
      <c r="C71" s="86"/>
      <c r="J71" s="87"/>
      <c r="K71" s="87"/>
    </row>
    <row r="72">
      <c r="C72" s="86"/>
      <c r="J72" s="87"/>
      <c r="K72" s="87"/>
    </row>
    <row r="73">
      <c r="C73" s="86"/>
      <c r="J73" s="87"/>
      <c r="K73" s="87"/>
    </row>
    <row r="74">
      <c r="C74" s="86"/>
      <c r="J74" s="87"/>
      <c r="K74" s="87"/>
    </row>
    <row r="75">
      <c r="C75" s="86"/>
      <c r="J75" s="87"/>
      <c r="K75" s="87"/>
    </row>
    <row r="76">
      <c r="C76" s="86"/>
      <c r="J76" s="87"/>
      <c r="K76" s="87"/>
    </row>
    <row r="77">
      <c r="C77" s="86"/>
      <c r="J77" s="87"/>
      <c r="K77" s="87"/>
    </row>
    <row r="78">
      <c r="C78" s="86"/>
      <c r="J78" s="87"/>
      <c r="K78" s="87"/>
    </row>
    <row r="79">
      <c r="C79" s="86"/>
      <c r="J79" s="87"/>
      <c r="K79" s="87"/>
    </row>
    <row r="80">
      <c r="C80" s="86"/>
      <c r="J80" s="87"/>
      <c r="K80" s="87"/>
    </row>
    <row r="81">
      <c r="C81" s="86"/>
      <c r="J81" s="87"/>
      <c r="K81" s="87"/>
    </row>
    <row r="82">
      <c r="C82" s="86"/>
      <c r="J82" s="87"/>
      <c r="K82" s="87"/>
    </row>
    <row r="83">
      <c r="C83" s="86"/>
      <c r="J83" s="87"/>
      <c r="K83" s="87"/>
    </row>
    <row r="84">
      <c r="C84" s="86"/>
      <c r="J84" s="87"/>
      <c r="K84" s="87"/>
    </row>
    <row r="85">
      <c r="C85" s="86"/>
      <c r="J85" s="87"/>
      <c r="K85" s="87"/>
    </row>
    <row r="86">
      <c r="C86" s="86"/>
      <c r="J86" s="87"/>
      <c r="K86" s="87"/>
    </row>
    <row r="87">
      <c r="C87" s="86"/>
      <c r="J87" s="87"/>
      <c r="K87" s="87"/>
    </row>
    <row r="88">
      <c r="C88" s="86"/>
      <c r="J88" s="87"/>
      <c r="K88" s="87"/>
    </row>
    <row r="89">
      <c r="C89" s="86"/>
      <c r="J89" s="87"/>
      <c r="K89" s="87"/>
    </row>
    <row r="90">
      <c r="C90" s="86"/>
      <c r="J90" s="87"/>
      <c r="K90" s="87"/>
    </row>
    <row r="91">
      <c r="C91" s="86"/>
      <c r="J91" s="87"/>
      <c r="K91" s="87"/>
    </row>
    <row r="92">
      <c r="C92" s="86"/>
      <c r="J92" s="87"/>
      <c r="K92" s="87"/>
    </row>
    <row r="93">
      <c r="C93" s="86"/>
      <c r="J93" s="87"/>
      <c r="K93" s="87"/>
    </row>
    <row r="94">
      <c r="C94" s="86"/>
      <c r="J94" s="87"/>
      <c r="K94" s="87"/>
    </row>
    <row r="95">
      <c r="C95" s="86"/>
      <c r="J95" s="87"/>
      <c r="K95" s="87"/>
    </row>
    <row r="96">
      <c r="C96" s="86"/>
      <c r="J96" s="87"/>
      <c r="K96" s="87"/>
    </row>
    <row r="97">
      <c r="C97" s="86"/>
      <c r="J97" s="87"/>
      <c r="K97" s="87"/>
    </row>
    <row r="98">
      <c r="C98" s="86"/>
      <c r="J98" s="87"/>
      <c r="K98" s="87"/>
    </row>
    <row r="99">
      <c r="C99" s="86"/>
      <c r="J99" s="87"/>
      <c r="K99" s="87"/>
    </row>
    <row r="100">
      <c r="C100" s="86"/>
      <c r="J100" s="87"/>
      <c r="K100" s="87"/>
    </row>
    <row r="101">
      <c r="C101" s="86"/>
      <c r="J101" s="87"/>
      <c r="K101" s="87"/>
    </row>
    <row r="102">
      <c r="C102" s="86"/>
      <c r="J102" s="87"/>
      <c r="K102" s="87"/>
    </row>
    <row r="103">
      <c r="C103" s="86"/>
      <c r="J103" s="87"/>
      <c r="K103" s="87"/>
    </row>
    <row r="104">
      <c r="C104" s="86"/>
      <c r="J104" s="87"/>
      <c r="K104" s="87"/>
    </row>
    <row r="105">
      <c r="C105" s="86"/>
      <c r="J105" s="87"/>
      <c r="K105" s="87"/>
    </row>
    <row r="106">
      <c r="C106" s="86"/>
      <c r="J106" s="87"/>
      <c r="K106" s="87"/>
    </row>
    <row r="107">
      <c r="C107" s="86"/>
      <c r="J107" s="87"/>
      <c r="K107" s="87"/>
    </row>
    <row r="108">
      <c r="C108" s="86"/>
      <c r="J108" s="87"/>
      <c r="K108" s="87"/>
    </row>
    <row r="109">
      <c r="C109" s="86"/>
      <c r="J109" s="87"/>
      <c r="K109" s="87"/>
    </row>
    <row r="110">
      <c r="C110" s="86"/>
      <c r="J110" s="87"/>
      <c r="K110" s="87"/>
    </row>
    <row r="111">
      <c r="C111" s="86"/>
      <c r="J111" s="87"/>
      <c r="K111" s="87"/>
    </row>
    <row r="112">
      <c r="C112" s="86"/>
      <c r="J112" s="87"/>
      <c r="K112" s="87"/>
    </row>
    <row r="113">
      <c r="C113" s="86"/>
      <c r="J113" s="87"/>
      <c r="K113" s="87"/>
    </row>
    <row r="114">
      <c r="C114" s="86"/>
      <c r="J114" s="87"/>
      <c r="K114" s="87"/>
    </row>
    <row r="115">
      <c r="C115" s="86"/>
      <c r="J115" s="87"/>
      <c r="K115" s="87"/>
    </row>
    <row r="116">
      <c r="C116" s="86"/>
      <c r="J116" s="87"/>
      <c r="K116" s="87"/>
    </row>
    <row r="117">
      <c r="C117" s="86"/>
      <c r="J117" s="87"/>
      <c r="K117" s="87"/>
    </row>
    <row r="118">
      <c r="C118" s="86"/>
      <c r="J118" s="87"/>
      <c r="K118" s="87"/>
    </row>
    <row r="119">
      <c r="C119" s="86"/>
      <c r="J119" s="87"/>
      <c r="K119" s="87"/>
    </row>
    <row r="120">
      <c r="C120" s="86"/>
      <c r="J120" s="87"/>
      <c r="K120" s="87"/>
    </row>
    <row r="121">
      <c r="C121" s="86"/>
      <c r="J121" s="87"/>
      <c r="K121" s="87"/>
    </row>
    <row r="122">
      <c r="C122" s="86"/>
      <c r="J122" s="87"/>
      <c r="K122" s="87"/>
    </row>
    <row r="123">
      <c r="C123" s="86"/>
      <c r="J123" s="87"/>
      <c r="K123" s="87"/>
    </row>
    <row r="124">
      <c r="C124" s="86"/>
      <c r="J124" s="87"/>
      <c r="K124" s="87"/>
    </row>
    <row r="125">
      <c r="C125" s="86"/>
      <c r="J125" s="87"/>
      <c r="K125" s="87"/>
    </row>
    <row r="126">
      <c r="C126" s="86"/>
      <c r="J126" s="87"/>
      <c r="K126" s="87"/>
    </row>
    <row r="127">
      <c r="C127" s="86"/>
      <c r="J127" s="87"/>
      <c r="K127" s="87"/>
    </row>
    <row r="128">
      <c r="C128" s="86"/>
      <c r="J128" s="87"/>
      <c r="K128" s="87"/>
    </row>
    <row r="129">
      <c r="C129" s="86"/>
      <c r="J129" s="87"/>
      <c r="K129" s="87"/>
    </row>
    <row r="130">
      <c r="C130" s="86"/>
      <c r="J130" s="87"/>
      <c r="K130" s="87"/>
    </row>
    <row r="131">
      <c r="C131" s="86"/>
      <c r="J131" s="87"/>
      <c r="K131" s="87"/>
    </row>
    <row r="132">
      <c r="C132" s="86"/>
      <c r="J132" s="87"/>
      <c r="K132" s="87"/>
    </row>
    <row r="133">
      <c r="C133" s="86"/>
      <c r="J133" s="87"/>
      <c r="K133" s="87"/>
    </row>
    <row r="134">
      <c r="C134" s="86"/>
      <c r="J134" s="87"/>
      <c r="K134" s="87"/>
    </row>
    <row r="135">
      <c r="C135" s="86"/>
      <c r="J135" s="87"/>
      <c r="K135" s="87"/>
    </row>
    <row r="136">
      <c r="C136" s="86"/>
      <c r="J136" s="87"/>
      <c r="K136" s="87"/>
    </row>
    <row r="137">
      <c r="C137" s="86"/>
      <c r="J137" s="87"/>
      <c r="K137" s="87"/>
    </row>
    <row r="138">
      <c r="C138" s="86"/>
      <c r="J138" s="87"/>
      <c r="K138" s="87"/>
    </row>
    <row r="139">
      <c r="C139" s="86"/>
      <c r="J139" s="87"/>
      <c r="K139" s="87"/>
    </row>
    <row r="140">
      <c r="C140" s="86"/>
      <c r="J140" s="87"/>
      <c r="K140" s="87"/>
    </row>
    <row r="141">
      <c r="C141" s="86"/>
      <c r="J141" s="87"/>
      <c r="K141" s="87"/>
    </row>
    <row r="142">
      <c r="C142" s="86"/>
      <c r="J142" s="87"/>
      <c r="K142" s="87"/>
    </row>
    <row r="143">
      <c r="C143" s="86"/>
      <c r="J143" s="87"/>
      <c r="K143" s="87"/>
    </row>
    <row r="144">
      <c r="C144" s="86"/>
      <c r="J144" s="87"/>
      <c r="K144" s="87"/>
    </row>
    <row r="145">
      <c r="C145" s="86"/>
      <c r="J145" s="87"/>
      <c r="K145" s="87"/>
    </row>
    <row r="146">
      <c r="C146" s="86"/>
      <c r="J146" s="87"/>
      <c r="K146" s="87"/>
    </row>
    <row r="147">
      <c r="C147" s="86"/>
      <c r="J147" s="87"/>
      <c r="K147" s="87"/>
    </row>
    <row r="148">
      <c r="C148" s="86"/>
      <c r="J148" s="87"/>
      <c r="K148" s="87"/>
    </row>
    <row r="149">
      <c r="C149" s="86"/>
      <c r="J149" s="87"/>
      <c r="K149" s="87"/>
    </row>
    <row r="150">
      <c r="C150" s="86"/>
      <c r="J150" s="87"/>
      <c r="K150" s="87"/>
    </row>
    <row r="151">
      <c r="C151" s="86"/>
      <c r="J151" s="87"/>
      <c r="K151" s="87"/>
    </row>
    <row r="152">
      <c r="C152" s="86"/>
      <c r="J152" s="87"/>
      <c r="K152" s="87"/>
    </row>
    <row r="153">
      <c r="C153" s="86"/>
      <c r="J153" s="87"/>
      <c r="K153" s="87"/>
    </row>
    <row r="154">
      <c r="C154" s="86"/>
      <c r="J154" s="87"/>
      <c r="K154" s="87"/>
    </row>
    <row r="155">
      <c r="C155" s="86"/>
      <c r="J155" s="87"/>
      <c r="K155" s="87"/>
    </row>
    <row r="156">
      <c r="C156" s="86"/>
      <c r="J156" s="87"/>
      <c r="K156" s="87"/>
    </row>
    <row r="157">
      <c r="C157" s="86"/>
      <c r="J157" s="87"/>
      <c r="K157" s="87"/>
    </row>
    <row r="158">
      <c r="C158" s="86"/>
      <c r="J158" s="87"/>
      <c r="K158" s="87"/>
    </row>
    <row r="159">
      <c r="C159" s="86"/>
      <c r="J159" s="87"/>
      <c r="K159" s="87"/>
    </row>
    <row r="160">
      <c r="C160" s="86"/>
      <c r="J160" s="87"/>
      <c r="K160" s="87"/>
    </row>
    <row r="161">
      <c r="C161" s="86"/>
      <c r="J161" s="87"/>
      <c r="K161" s="87"/>
    </row>
    <row r="162">
      <c r="C162" s="86"/>
      <c r="J162" s="87"/>
      <c r="K162" s="87"/>
    </row>
    <row r="163">
      <c r="C163" s="86"/>
      <c r="J163" s="87"/>
      <c r="K163" s="87"/>
    </row>
    <row r="164">
      <c r="C164" s="86"/>
      <c r="J164" s="87"/>
      <c r="K164" s="87"/>
    </row>
    <row r="165">
      <c r="C165" s="86"/>
      <c r="J165" s="87"/>
      <c r="K165" s="87"/>
    </row>
    <row r="166">
      <c r="C166" s="86"/>
      <c r="J166" s="87"/>
      <c r="K166" s="87"/>
    </row>
    <row r="167">
      <c r="C167" s="86"/>
      <c r="J167" s="87"/>
      <c r="K167" s="87"/>
    </row>
    <row r="168">
      <c r="C168" s="86"/>
      <c r="J168" s="87"/>
      <c r="K168" s="87"/>
    </row>
    <row r="169">
      <c r="C169" s="86"/>
      <c r="J169" s="87"/>
      <c r="K169" s="87"/>
    </row>
    <row r="170">
      <c r="C170" s="86"/>
      <c r="J170" s="87"/>
      <c r="K170" s="87"/>
    </row>
    <row r="171">
      <c r="C171" s="86"/>
      <c r="J171" s="87"/>
      <c r="K171" s="87"/>
    </row>
    <row r="172">
      <c r="C172" s="86"/>
      <c r="J172" s="87"/>
      <c r="K172" s="87"/>
    </row>
    <row r="173">
      <c r="C173" s="86"/>
      <c r="J173" s="87"/>
      <c r="K173" s="87"/>
    </row>
    <row r="174">
      <c r="C174" s="86"/>
      <c r="J174" s="87"/>
      <c r="K174" s="87"/>
    </row>
    <row r="175">
      <c r="C175" s="86"/>
      <c r="J175" s="87"/>
      <c r="K175" s="87"/>
    </row>
    <row r="176">
      <c r="C176" s="86"/>
      <c r="J176" s="87"/>
      <c r="K176" s="87"/>
    </row>
    <row r="177">
      <c r="C177" s="86"/>
      <c r="J177" s="87"/>
      <c r="K177" s="87"/>
    </row>
    <row r="178">
      <c r="C178" s="86"/>
      <c r="J178" s="87"/>
      <c r="K178" s="87"/>
    </row>
    <row r="179">
      <c r="C179" s="86"/>
      <c r="J179" s="87"/>
      <c r="K179" s="87"/>
    </row>
    <row r="180">
      <c r="C180" s="86"/>
      <c r="J180" s="87"/>
      <c r="K180" s="87"/>
    </row>
    <row r="181">
      <c r="C181" s="86"/>
      <c r="J181" s="87"/>
      <c r="K181" s="87"/>
    </row>
    <row r="182">
      <c r="C182" s="86"/>
      <c r="J182" s="87"/>
      <c r="K182" s="87"/>
    </row>
    <row r="183">
      <c r="C183" s="86"/>
      <c r="J183" s="87"/>
      <c r="K183" s="87"/>
    </row>
    <row r="184">
      <c r="C184" s="86"/>
      <c r="J184" s="87"/>
      <c r="K184" s="87"/>
    </row>
    <row r="185">
      <c r="C185" s="86"/>
      <c r="J185" s="87"/>
      <c r="K185" s="87"/>
    </row>
    <row r="186">
      <c r="C186" s="86"/>
      <c r="J186" s="87"/>
      <c r="K186" s="87"/>
    </row>
    <row r="187">
      <c r="C187" s="86"/>
      <c r="J187" s="87"/>
      <c r="K187" s="87"/>
    </row>
    <row r="188">
      <c r="C188" s="86"/>
      <c r="J188" s="87"/>
      <c r="K188" s="87"/>
    </row>
    <row r="189">
      <c r="C189" s="86"/>
      <c r="J189" s="87"/>
      <c r="K189" s="87"/>
    </row>
    <row r="190">
      <c r="C190" s="86"/>
      <c r="J190" s="87"/>
      <c r="K190" s="87"/>
    </row>
    <row r="191">
      <c r="C191" s="86"/>
      <c r="J191" s="87"/>
      <c r="K191" s="87"/>
    </row>
    <row r="192">
      <c r="C192" s="86"/>
      <c r="J192" s="87"/>
      <c r="K192" s="87"/>
    </row>
    <row r="193">
      <c r="C193" s="86"/>
      <c r="J193" s="87"/>
      <c r="K193" s="87"/>
    </row>
    <row r="194">
      <c r="C194" s="86"/>
      <c r="J194" s="87"/>
      <c r="K194" s="87"/>
    </row>
    <row r="195">
      <c r="C195" s="86"/>
      <c r="J195" s="87"/>
      <c r="K195" s="87"/>
    </row>
    <row r="196">
      <c r="C196" s="86"/>
      <c r="J196" s="87"/>
      <c r="K196" s="87"/>
    </row>
    <row r="197">
      <c r="C197" s="86"/>
      <c r="J197" s="87"/>
      <c r="K197" s="87"/>
    </row>
    <row r="198">
      <c r="C198" s="86"/>
      <c r="J198" s="87"/>
      <c r="K198" s="87"/>
    </row>
    <row r="199">
      <c r="C199" s="86"/>
      <c r="J199" s="87"/>
      <c r="K199" s="87"/>
    </row>
    <row r="200">
      <c r="C200" s="86"/>
      <c r="J200" s="87"/>
      <c r="K200" s="87"/>
    </row>
    <row r="201">
      <c r="C201" s="86"/>
      <c r="J201" s="87"/>
      <c r="K201" s="87"/>
    </row>
    <row r="202">
      <c r="C202" s="86"/>
      <c r="J202" s="87"/>
      <c r="K202" s="87"/>
    </row>
    <row r="203">
      <c r="C203" s="86"/>
      <c r="J203" s="87"/>
      <c r="K203" s="87"/>
    </row>
    <row r="204">
      <c r="C204" s="86"/>
      <c r="J204" s="87"/>
      <c r="K204" s="87"/>
    </row>
    <row r="205">
      <c r="C205" s="86"/>
      <c r="J205" s="87"/>
      <c r="K205" s="87"/>
    </row>
    <row r="206">
      <c r="C206" s="86"/>
      <c r="J206" s="87"/>
      <c r="K206" s="87"/>
    </row>
    <row r="207">
      <c r="C207" s="86"/>
      <c r="J207" s="87"/>
      <c r="K207" s="87"/>
    </row>
    <row r="208">
      <c r="C208" s="86"/>
      <c r="J208" s="87"/>
      <c r="K208" s="87"/>
    </row>
    <row r="209">
      <c r="C209" s="86"/>
      <c r="J209" s="87"/>
      <c r="K209" s="87"/>
    </row>
    <row r="210">
      <c r="C210" s="86"/>
      <c r="J210" s="87"/>
      <c r="K210" s="87"/>
    </row>
    <row r="211">
      <c r="C211" s="86"/>
      <c r="J211" s="87"/>
      <c r="K211" s="87"/>
    </row>
    <row r="212">
      <c r="C212" s="86"/>
      <c r="J212" s="87"/>
      <c r="K212" s="87"/>
    </row>
    <row r="213">
      <c r="C213" s="86"/>
      <c r="J213" s="87"/>
      <c r="K213" s="87"/>
    </row>
    <row r="214">
      <c r="C214" s="86"/>
      <c r="J214" s="87"/>
      <c r="K214" s="87"/>
    </row>
    <row r="215">
      <c r="C215" s="86"/>
      <c r="J215" s="87"/>
      <c r="K215" s="87"/>
    </row>
    <row r="216">
      <c r="C216" s="86"/>
      <c r="J216" s="87"/>
      <c r="K216" s="87"/>
    </row>
    <row r="217">
      <c r="C217" s="86"/>
      <c r="J217" s="87"/>
      <c r="K217" s="87"/>
    </row>
    <row r="218">
      <c r="C218" s="86"/>
      <c r="J218" s="87"/>
      <c r="K218" s="87"/>
    </row>
    <row r="219">
      <c r="C219" s="86"/>
      <c r="J219" s="87"/>
      <c r="K219" s="87"/>
    </row>
    <row r="220">
      <c r="C220" s="86"/>
      <c r="J220" s="87"/>
      <c r="K220" s="87"/>
    </row>
    <row r="221">
      <c r="C221" s="86"/>
      <c r="J221" s="87"/>
      <c r="K221" s="87"/>
    </row>
    <row r="222">
      <c r="C222" s="86"/>
      <c r="J222" s="87"/>
      <c r="K222" s="87"/>
    </row>
    <row r="223">
      <c r="C223" s="86"/>
      <c r="J223" s="87"/>
      <c r="K223" s="87"/>
    </row>
    <row r="224">
      <c r="C224" s="86"/>
      <c r="J224" s="87"/>
      <c r="K224" s="87"/>
    </row>
    <row r="225">
      <c r="C225" s="86"/>
      <c r="J225" s="87"/>
      <c r="K225" s="87"/>
    </row>
    <row r="226">
      <c r="C226" s="86"/>
      <c r="J226" s="87"/>
      <c r="K226" s="87"/>
    </row>
    <row r="227">
      <c r="C227" s="86"/>
      <c r="J227" s="87"/>
      <c r="K227" s="87"/>
    </row>
    <row r="228">
      <c r="C228" s="86"/>
      <c r="J228" s="87"/>
      <c r="K228" s="87"/>
    </row>
    <row r="229">
      <c r="C229" s="86"/>
      <c r="J229" s="87"/>
      <c r="K229" s="87"/>
    </row>
    <row r="230">
      <c r="C230" s="86"/>
      <c r="J230" s="87"/>
      <c r="K230" s="87"/>
    </row>
    <row r="231">
      <c r="C231" s="86"/>
      <c r="J231" s="87"/>
      <c r="K231" s="87"/>
    </row>
    <row r="232">
      <c r="C232" s="86"/>
      <c r="J232" s="87"/>
      <c r="K232" s="87"/>
    </row>
    <row r="233">
      <c r="C233" s="86"/>
      <c r="J233" s="87"/>
      <c r="K233" s="87"/>
    </row>
    <row r="234">
      <c r="C234" s="86"/>
      <c r="J234" s="87"/>
      <c r="K234" s="87"/>
    </row>
    <row r="235">
      <c r="C235" s="86"/>
      <c r="J235" s="87"/>
      <c r="K235" s="87"/>
    </row>
    <row r="236">
      <c r="C236" s="86"/>
      <c r="J236" s="87"/>
      <c r="K236" s="87"/>
    </row>
    <row r="237">
      <c r="C237" s="86"/>
      <c r="J237" s="87"/>
      <c r="K237" s="87"/>
    </row>
    <row r="238">
      <c r="C238" s="86"/>
      <c r="J238" s="87"/>
      <c r="K238" s="87"/>
    </row>
    <row r="239">
      <c r="C239" s="86"/>
      <c r="J239" s="87"/>
      <c r="K239" s="87"/>
    </row>
    <row r="240">
      <c r="C240" s="86"/>
      <c r="J240" s="87"/>
      <c r="K240" s="87"/>
    </row>
    <row r="241">
      <c r="C241" s="86"/>
      <c r="J241" s="87"/>
      <c r="K241" s="87"/>
    </row>
    <row r="242">
      <c r="C242" s="86"/>
      <c r="J242" s="87"/>
      <c r="K242" s="87"/>
    </row>
    <row r="243">
      <c r="C243" s="86"/>
      <c r="J243" s="87"/>
      <c r="K243" s="87"/>
    </row>
    <row r="244">
      <c r="C244" s="86"/>
      <c r="J244" s="87"/>
      <c r="K244" s="87"/>
    </row>
    <row r="245">
      <c r="C245" s="86"/>
      <c r="J245" s="87"/>
      <c r="K245" s="87"/>
    </row>
    <row r="246">
      <c r="C246" s="86"/>
      <c r="J246" s="87"/>
      <c r="K246" s="87"/>
    </row>
    <row r="247">
      <c r="C247" s="86"/>
      <c r="J247" s="87"/>
      <c r="K247" s="87"/>
    </row>
    <row r="248">
      <c r="C248" s="86"/>
      <c r="J248" s="87"/>
      <c r="K248" s="87"/>
    </row>
    <row r="249">
      <c r="C249" s="86"/>
      <c r="J249" s="87"/>
      <c r="K249" s="87"/>
    </row>
    <row r="250">
      <c r="C250" s="86"/>
      <c r="J250" s="87"/>
      <c r="K250" s="87"/>
    </row>
    <row r="251">
      <c r="C251" s="86"/>
      <c r="J251" s="87"/>
      <c r="K251" s="87"/>
    </row>
    <row r="252">
      <c r="C252" s="86"/>
      <c r="J252" s="87"/>
      <c r="K252" s="87"/>
    </row>
    <row r="253">
      <c r="C253" s="86"/>
      <c r="J253" s="87"/>
      <c r="K253" s="87"/>
    </row>
    <row r="254">
      <c r="C254" s="86"/>
      <c r="J254" s="87"/>
      <c r="K254" s="87"/>
    </row>
    <row r="255">
      <c r="C255" s="86"/>
      <c r="J255" s="87"/>
      <c r="K255" s="87"/>
    </row>
    <row r="256">
      <c r="C256" s="86"/>
      <c r="J256" s="87"/>
      <c r="K256" s="87"/>
    </row>
    <row r="257">
      <c r="C257" s="86"/>
      <c r="J257" s="87"/>
      <c r="K257" s="87"/>
    </row>
    <row r="258">
      <c r="C258" s="86"/>
      <c r="J258" s="87"/>
      <c r="K258" s="87"/>
    </row>
    <row r="259">
      <c r="C259" s="86"/>
      <c r="J259" s="87"/>
      <c r="K259" s="87"/>
    </row>
    <row r="260">
      <c r="C260" s="86"/>
      <c r="J260" s="87"/>
      <c r="K260" s="87"/>
    </row>
    <row r="261">
      <c r="C261" s="86"/>
      <c r="J261" s="87"/>
      <c r="K261" s="87"/>
    </row>
    <row r="262">
      <c r="C262" s="86"/>
      <c r="J262" s="87"/>
      <c r="K262" s="87"/>
    </row>
    <row r="263">
      <c r="C263" s="86"/>
      <c r="J263" s="87"/>
      <c r="K263" s="87"/>
    </row>
    <row r="264">
      <c r="C264" s="86"/>
      <c r="J264" s="87"/>
      <c r="K264" s="87"/>
    </row>
    <row r="265">
      <c r="C265" s="86"/>
      <c r="J265" s="87"/>
      <c r="K265" s="87"/>
    </row>
    <row r="266">
      <c r="C266" s="86"/>
      <c r="J266" s="87"/>
      <c r="K266" s="87"/>
    </row>
    <row r="267">
      <c r="C267" s="86"/>
      <c r="J267" s="87"/>
      <c r="K267" s="87"/>
    </row>
    <row r="268">
      <c r="C268" s="86"/>
      <c r="J268" s="87"/>
      <c r="K268" s="87"/>
    </row>
    <row r="269">
      <c r="C269" s="86"/>
      <c r="J269" s="87"/>
      <c r="K269" s="87"/>
    </row>
    <row r="270">
      <c r="C270" s="86"/>
      <c r="J270" s="87"/>
      <c r="K270" s="87"/>
    </row>
    <row r="271">
      <c r="C271" s="86"/>
      <c r="J271" s="87"/>
      <c r="K271" s="87"/>
    </row>
    <row r="272">
      <c r="C272" s="86"/>
      <c r="J272" s="87"/>
      <c r="K272" s="87"/>
    </row>
    <row r="273">
      <c r="C273" s="86"/>
      <c r="J273" s="87"/>
      <c r="K273" s="87"/>
    </row>
    <row r="274">
      <c r="C274" s="86"/>
      <c r="J274" s="87"/>
      <c r="K274" s="87"/>
    </row>
    <row r="275">
      <c r="C275" s="86"/>
      <c r="J275" s="87"/>
      <c r="K275" s="87"/>
    </row>
    <row r="276">
      <c r="C276" s="86"/>
      <c r="J276" s="87"/>
      <c r="K276" s="87"/>
    </row>
    <row r="277">
      <c r="C277" s="86"/>
      <c r="J277" s="87"/>
      <c r="K277" s="87"/>
    </row>
    <row r="278">
      <c r="C278" s="86"/>
      <c r="J278" s="87"/>
      <c r="K278" s="87"/>
    </row>
    <row r="279">
      <c r="C279" s="86"/>
      <c r="J279" s="87"/>
      <c r="K279" s="87"/>
    </row>
    <row r="280">
      <c r="C280" s="86"/>
      <c r="J280" s="87"/>
      <c r="K280" s="87"/>
    </row>
    <row r="281">
      <c r="C281" s="86"/>
      <c r="J281" s="87"/>
      <c r="K281" s="87"/>
    </row>
    <row r="282">
      <c r="C282" s="86"/>
      <c r="J282" s="87"/>
      <c r="K282" s="87"/>
    </row>
    <row r="283">
      <c r="C283" s="86"/>
      <c r="J283" s="87"/>
      <c r="K283" s="87"/>
    </row>
    <row r="284">
      <c r="C284" s="86"/>
      <c r="J284" s="87"/>
      <c r="K284" s="87"/>
    </row>
    <row r="285">
      <c r="C285" s="86"/>
      <c r="J285" s="87"/>
      <c r="K285" s="87"/>
    </row>
    <row r="286">
      <c r="C286" s="86"/>
      <c r="J286" s="87"/>
      <c r="K286" s="87"/>
    </row>
    <row r="287">
      <c r="C287" s="86"/>
      <c r="J287" s="87"/>
      <c r="K287" s="87"/>
    </row>
    <row r="288">
      <c r="C288" s="86"/>
      <c r="J288" s="87"/>
      <c r="K288" s="87"/>
    </row>
    <row r="289">
      <c r="C289" s="86"/>
      <c r="J289" s="87"/>
      <c r="K289" s="87"/>
    </row>
    <row r="290">
      <c r="C290" s="86"/>
      <c r="J290" s="87"/>
      <c r="K290" s="87"/>
    </row>
    <row r="291">
      <c r="C291" s="86"/>
      <c r="J291" s="87"/>
      <c r="K291" s="87"/>
    </row>
    <row r="292">
      <c r="C292" s="86"/>
      <c r="J292" s="87"/>
      <c r="K292" s="87"/>
    </row>
    <row r="293">
      <c r="C293" s="86"/>
      <c r="J293" s="87"/>
      <c r="K293" s="87"/>
    </row>
    <row r="294">
      <c r="C294" s="86"/>
      <c r="J294" s="87"/>
      <c r="K294" s="87"/>
    </row>
    <row r="295">
      <c r="C295" s="86"/>
      <c r="J295" s="87"/>
      <c r="K295" s="87"/>
    </row>
    <row r="296">
      <c r="C296" s="86"/>
      <c r="J296" s="87"/>
      <c r="K296" s="87"/>
    </row>
    <row r="297">
      <c r="C297" s="86"/>
      <c r="J297" s="87"/>
      <c r="K297" s="87"/>
    </row>
    <row r="298">
      <c r="C298" s="86"/>
      <c r="J298" s="87"/>
      <c r="K298" s="87"/>
    </row>
    <row r="299">
      <c r="C299" s="86"/>
      <c r="J299" s="87"/>
      <c r="K299" s="87"/>
    </row>
    <row r="300">
      <c r="C300" s="86"/>
      <c r="J300" s="87"/>
      <c r="K300" s="87"/>
    </row>
    <row r="301">
      <c r="C301" s="86"/>
      <c r="J301" s="87"/>
      <c r="K301" s="87"/>
    </row>
    <row r="302">
      <c r="C302" s="86"/>
      <c r="J302" s="87"/>
      <c r="K302" s="87"/>
    </row>
    <row r="303">
      <c r="C303" s="86"/>
      <c r="J303" s="87"/>
      <c r="K303" s="87"/>
    </row>
    <row r="304">
      <c r="C304" s="86"/>
      <c r="J304" s="87"/>
      <c r="K304" s="87"/>
    </row>
    <row r="305">
      <c r="C305" s="86"/>
      <c r="J305" s="87"/>
      <c r="K305" s="87"/>
    </row>
    <row r="306">
      <c r="C306" s="86"/>
      <c r="J306" s="87"/>
      <c r="K306" s="87"/>
    </row>
    <row r="307">
      <c r="C307" s="86"/>
      <c r="J307" s="87"/>
      <c r="K307" s="87"/>
    </row>
    <row r="308">
      <c r="C308" s="86"/>
      <c r="J308" s="87"/>
      <c r="K308" s="87"/>
    </row>
    <row r="309">
      <c r="C309" s="86"/>
      <c r="J309" s="87"/>
      <c r="K309" s="87"/>
    </row>
    <row r="310">
      <c r="C310" s="86"/>
      <c r="J310" s="87"/>
      <c r="K310" s="87"/>
    </row>
    <row r="311">
      <c r="C311" s="86"/>
      <c r="J311" s="87"/>
      <c r="K311" s="87"/>
    </row>
    <row r="312">
      <c r="C312" s="86"/>
      <c r="J312" s="87"/>
      <c r="K312" s="87"/>
    </row>
    <row r="313">
      <c r="C313" s="86"/>
      <c r="J313" s="87"/>
      <c r="K313" s="87"/>
    </row>
    <row r="314">
      <c r="C314" s="86"/>
      <c r="J314" s="87"/>
      <c r="K314" s="87"/>
    </row>
    <row r="315">
      <c r="C315" s="86"/>
      <c r="J315" s="87"/>
      <c r="K315" s="87"/>
    </row>
    <row r="316">
      <c r="C316" s="86"/>
      <c r="J316" s="87"/>
      <c r="K316" s="87"/>
    </row>
    <row r="317">
      <c r="C317" s="86"/>
      <c r="J317" s="87"/>
      <c r="K317" s="87"/>
    </row>
    <row r="318">
      <c r="C318" s="86"/>
      <c r="J318" s="87"/>
      <c r="K318" s="87"/>
    </row>
    <row r="319">
      <c r="C319" s="86"/>
      <c r="J319" s="87"/>
      <c r="K319" s="87"/>
    </row>
    <row r="320">
      <c r="C320" s="86"/>
      <c r="J320" s="87"/>
      <c r="K320" s="87"/>
    </row>
    <row r="321">
      <c r="C321" s="86"/>
      <c r="J321" s="87"/>
      <c r="K321" s="87"/>
    </row>
    <row r="322">
      <c r="C322" s="86"/>
      <c r="J322" s="87"/>
      <c r="K322" s="87"/>
    </row>
    <row r="323">
      <c r="C323" s="86"/>
      <c r="J323" s="87"/>
      <c r="K323" s="87"/>
    </row>
    <row r="324">
      <c r="C324" s="86"/>
      <c r="J324" s="87"/>
      <c r="K324" s="87"/>
    </row>
    <row r="325">
      <c r="C325" s="86"/>
      <c r="J325" s="87"/>
      <c r="K325" s="87"/>
    </row>
    <row r="326">
      <c r="C326" s="86"/>
      <c r="J326" s="87"/>
      <c r="K326" s="87"/>
    </row>
    <row r="327">
      <c r="C327" s="86"/>
      <c r="J327" s="87"/>
      <c r="K327" s="87"/>
    </row>
    <row r="328">
      <c r="C328" s="86"/>
      <c r="J328" s="87"/>
      <c r="K328" s="87"/>
    </row>
    <row r="329">
      <c r="C329" s="86"/>
      <c r="J329" s="87"/>
      <c r="K329" s="87"/>
    </row>
    <row r="330">
      <c r="C330" s="86"/>
      <c r="J330" s="87"/>
      <c r="K330" s="87"/>
    </row>
    <row r="331">
      <c r="C331" s="86"/>
      <c r="J331" s="87"/>
      <c r="K331" s="87"/>
    </row>
    <row r="332">
      <c r="C332" s="86"/>
      <c r="J332" s="87"/>
      <c r="K332" s="87"/>
    </row>
    <row r="333">
      <c r="C333" s="86"/>
      <c r="J333" s="87"/>
      <c r="K333" s="87"/>
    </row>
    <row r="334">
      <c r="C334" s="86"/>
      <c r="J334" s="87"/>
      <c r="K334" s="87"/>
    </row>
    <row r="335">
      <c r="C335" s="86"/>
      <c r="J335" s="87"/>
      <c r="K335" s="87"/>
    </row>
    <row r="336">
      <c r="C336" s="86"/>
      <c r="J336" s="87"/>
      <c r="K336" s="87"/>
    </row>
    <row r="337">
      <c r="C337" s="86"/>
      <c r="J337" s="87"/>
      <c r="K337" s="87"/>
    </row>
    <row r="338">
      <c r="C338" s="86"/>
      <c r="J338" s="87"/>
      <c r="K338" s="87"/>
    </row>
    <row r="339">
      <c r="C339" s="86"/>
      <c r="J339" s="87"/>
      <c r="K339" s="87"/>
    </row>
    <row r="340">
      <c r="C340" s="86"/>
      <c r="J340" s="87"/>
      <c r="K340" s="87"/>
    </row>
    <row r="341">
      <c r="C341" s="86"/>
      <c r="J341" s="87"/>
      <c r="K341" s="87"/>
    </row>
    <row r="342">
      <c r="C342" s="86"/>
      <c r="J342" s="87"/>
      <c r="K342" s="87"/>
    </row>
    <row r="343">
      <c r="C343" s="86"/>
      <c r="J343" s="87"/>
      <c r="K343" s="87"/>
    </row>
    <row r="344">
      <c r="C344" s="86"/>
      <c r="J344" s="87"/>
      <c r="K344" s="87"/>
    </row>
    <row r="345">
      <c r="C345" s="86"/>
      <c r="J345" s="87"/>
      <c r="K345" s="87"/>
    </row>
    <row r="346">
      <c r="C346" s="86"/>
      <c r="J346" s="87"/>
      <c r="K346" s="87"/>
    </row>
    <row r="347">
      <c r="C347" s="86"/>
      <c r="J347" s="87"/>
      <c r="K347" s="87"/>
    </row>
    <row r="348">
      <c r="C348" s="86"/>
      <c r="J348" s="87"/>
      <c r="K348" s="87"/>
    </row>
    <row r="349">
      <c r="C349" s="86"/>
      <c r="J349" s="87"/>
      <c r="K349" s="87"/>
    </row>
    <row r="350">
      <c r="C350" s="86"/>
      <c r="J350" s="87"/>
      <c r="K350" s="87"/>
    </row>
    <row r="351">
      <c r="C351" s="86"/>
      <c r="J351" s="87"/>
      <c r="K351" s="87"/>
    </row>
    <row r="352">
      <c r="C352" s="86"/>
      <c r="J352" s="87"/>
      <c r="K352" s="87"/>
    </row>
    <row r="353">
      <c r="C353" s="86"/>
      <c r="J353" s="87"/>
      <c r="K353" s="87"/>
    </row>
    <row r="354">
      <c r="C354" s="86"/>
      <c r="J354" s="87"/>
      <c r="K354" s="87"/>
    </row>
    <row r="355">
      <c r="C355" s="86"/>
      <c r="J355" s="87"/>
      <c r="K355" s="87"/>
    </row>
    <row r="356">
      <c r="C356" s="86"/>
      <c r="J356" s="87"/>
      <c r="K356" s="87"/>
    </row>
    <row r="357">
      <c r="C357" s="86"/>
      <c r="J357" s="87"/>
      <c r="K357" s="87"/>
    </row>
    <row r="358">
      <c r="C358" s="86"/>
      <c r="J358" s="87"/>
      <c r="K358" s="87"/>
    </row>
    <row r="359">
      <c r="C359" s="86"/>
      <c r="J359" s="87"/>
      <c r="K359" s="87"/>
    </row>
    <row r="360">
      <c r="C360" s="86"/>
      <c r="J360" s="87"/>
      <c r="K360" s="87"/>
    </row>
    <row r="361">
      <c r="C361" s="86"/>
      <c r="J361" s="87"/>
      <c r="K361" s="87"/>
    </row>
    <row r="362">
      <c r="C362" s="86"/>
      <c r="J362" s="87"/>
      <c r="K362" s="87"/>
    </row>
    <row r="363">
      <c r="C363" s="86"/>
      <c r="J363" s="87"/>
      <c r="K363" s="87"/>
    </row>
    <row r="364">
      <c r="C364" s="86"/>
      <c r="J364" s="87"/>
      <c r="K364" s="87"/>
    </row>
    <row r="365">
      <c r="C365" s="86"/>
      <c r="J365" s="87"/>
      <c r="K365" s="87"/>
    </row>
    <row r="366">
      <c r="C366" s="86"/>
      <c r="J366" s="87"/>
      <c r="K366" s="87"/>
    </row>
    <row r="367">
      <c r="C367" s="86"/>
      <c r="J367" s="87"/>
      <c r="K367" s="87"/>
    </row>
    <row r="368">
      <c r="C368" s="86"/>
      <c r="J368" s="87"/>
      <c r="K368" s="87"/>
    </row>
    <row r="369">
      <c r="C369" s="86"/>
      <c r="J369" s="87"/>
      <c r="K369" s="87"/>
    </row>
    <row r="370">
      <c r="C370" s="86"/>
      <c r="J370" s="87"/>
      <c r="K370" s="87"/>
    </row>
    <row r="371">
      <c r="C371" s="86"/>
      <c r="J371" s="87"/>
      <c r="K371" s="87"/>
    </row>
    <row r="372">
      <c r="C372" s="86"/>
      <c r="J372" s="87"/>
      <c r="K372" s="87"/>
    </row>
    <row r="373">
      <c r="C373" s="86"/>
      <c r="J373" s="87"/>
      <c r="K373" s="87"/>
    </row>
    <row r="374">
      <c r="C374" s="86"/>
      <c r="J374" s="87"/>
      <c r="K374" s="87"/>
    </row>
    <row r="375">
      <c r="C375" s="86"/>
      <c r="J375" s="87"/>
      <c r="K375" s="87"/>
    </row>
    <row r="376">
      <c r="C376" s="86"/>
      <c r="J376" s="87"/>
      <c r="K376" s="87"/>
    </row>
    <row r="377">
      <c r="C377" s="86"/>
      <c r="J377" s="87"/>
      <c r="K377" s="87"/>
    </row>
    <row r="378">
      <c r="C378" s="86"/>
      <c r="J378" s="87"/>
      <c r="K378" s="87"/>
    </row>
    <row r="379">
      <c r="C379" s="86"/>
      <c r="J379" s="87"/>
      <c r="K379" s="87"/>
    </row>
    <row r="380">
      <c r="C380" s="86"/>
      <c r="J380" s="87"/>
      <c r="K380" s="87"/>
    </row>
    <row r="381">
      <c r="C381" s="86"/>
      <c r="J381" s="87"/>
      <c r="K381" s="87"/>
    </row>
    <row r="382">
      <c r="C382" s="86"/>
      <c r="J382" s="87"/>
      <c r="K382" s="87"/>
    </row>
    <row r="383">
      <c r="C383" s="86"/>
      <c r="J383" s="87"/>
      <c r="K383" s="87"/>
    </row>
    <row r="384">
      <c r="C384" s="86"/>
      <c r="J384" s="87"/>
      <c r="K384" s="87"/>
    </row>
    <row r="385">
      <c r="C385" s="86"/>
      <c r="J385" s="87"/>
      <c r="K385" s="87"/>
    </row>
    <row r="386">
      <c r="C386" s="86"/>
      <c r="J386" s="87"/>
      <c r="K386" s="87"/>
    </row>
    <row r="387">
      <c r="C387" s="86"/>
      <c r="J387" s="87"/>
      <c r="K387" s="87"/>
    </row>
    <row r="388">
      <c r="C388" s="86"/>
      <c r="J388" s="87"/>
      <c r="K388" s="87"/>
    </row>
    <row r="389">
      <c r="C389" s="86"/>
      <c r="J389" s="87"/>
      <c r="K389" s="87"/>
    </row>
    <row r="390">
      <c r="C390" s="86"/>
      <c r="J390" s="87"/>
      <c r="K390" s="87"/>
    </row>
    <row r="391">
      <c r="C391" s="86"/>
      <c r="J391" s="87"/>
      <c r="K391" s="87"/>
    </row>
    <row r="392">
      <c r="C392" s="86"/>
      <c r="J392" s="87"/>
      <c r="K392" s="87"/>
    </row>
    <row r="393">
      <c r="C393" s="86"/>
      <c r="J393" s="87"/>
      <c r="K393" s="87"/>
    </row>
    <row r="394">
      <c r="C394" s="86"/>
      <c r="J394" s="87"/>
      <c r="K394" s="87"/>
    </row>
    <row r="395">
      <c r="C395" s="86"/>
      <c r="J395" s="87"/>
      <c r="K395" s="87"/>
    </row>
    <row r="396">
      <c r="C396" s="86"/>
      <c r="J396" s="87"/>
      <c r="K396" s="87"/>
    </row>
    <row r="397">
      <c r="C397" s="86"/>
      <c r="J397" s="87"/>
      <c r="K397" s="87"/>
    </row>
    <row r="398">
      <c r="C398" s="86"/>
      <c r="J398" s="87"/>
      <c r="K398" s="87"/>
    </row>
    <row r="399">
      <c r="C399" s="86"/>
      <c r="J399" s="87"/>
      <c r="K399" s="87"/>
    </row>
    <row r="400">
      <c r="C400" s="86"/>
      <c r="J400" s="87"/>
      <c r="K400" s="87"/>
    </row>
    <row r="401">
      <c r="C401" s="86"/>
      <c r="J401" s="87"/>
      <c r="K401" s="87"/>
    </row>
    <row r="402">
      <c r="C402" s="86"/>
      <c r="J402" s="87"/>
      <c r="K402" s="87"/>
    </row>
    <row r="403">
      <c r="C403" s="86"/>
      <c r="J403" s="87"/>
      <c r="K403" s="87"/>
    </row>
    <row r="404">
      <c r="C404" s="86"/>
      <c r="J404" s="87"/>
      <c r="K404" s="87"/>
    </row>
    <row r="405">
      <c r="C405" s="86"/>
      <c r="J405" s="87"/>
      <c r="K405" s="87"/>
    </row>
    <row r="406">
      <c r="C406" s="86"/>
      <c r="J406" s="87"/>
      <c r="K406" s="87"/>
    </row>
    <row r="407">
      <c r="C407" s="86"/>
      <c r="J407" s="87"/>
      <c r="K407" s="87"/>
    </row>
    <row r="408">
      <c r="C408" s="86"/>
      <c r="J408" s="87"/>
      <c r="K408" s="87"/>
    </row>
    <row r="409">
      <c r="C409" s="86"/>
      <c r="J409" s="87"/>
      <c r="K409" s="87"/>
    </row>
    <row r="410">
      <c r="C410" s="86"/>
      <c r="J410" s="87"/>
      <c r="K410" s="87"/>
    </row>
    <row r="411">
      <c r="C411" s="86"/>
      <c r="J411" s="87"/>
      <c r="K411" s="87"/>
    </row>
    <row r="412">
      <c r="C412" s="86"/>
      <c r="J412" s="87"/>
      <c r="K412" s="87"/>
    </row>
    <row r="413">
      <c r="C413" s="86"/>
      <c r="J413" s="87"/>
      <c r="K413" s="87"/>
    </row>
    <row r="414">
      <c r="C414" s="86"/>
      <c r="J414" s="87"/>
      <c r="K414" s="87"/>
    </row>
    <row r="415">
      <c r="C415" s="86"/>
      <c r="J415" s="87"/>
      <c r="K415" s="87"/>
    </row>
    <row r="416">
      <c r="C416" s="86"/>
      <c r="J416" s="87"/>
      <c r="K416" s="87"/>
    </row>
    <row r="417">
      <c r="C417" s="86"/>
      <c r="J417" s="87"/>
      <c r="K417" s="87"/>
    </row>
    <row r="418">
      <c r="C418" s="86"/>
      <c r="J418" s="87"/>
      <c r="K418" s="87"/>
    </row>
    <row r="419">
      <c r="C419" s="86"/>
      <c r="J419" s="87"/>
      <c r="K419" s="87"/>
    </row>
    <row r="420">
      <c r="C420" s="86"/>
      <c r="J420" s="87"/>
      <c r="K420" s="87"/>
    </row>
    <row r="421">
      <c r="C421" s="86"/>
      <c r="J421" s="87"/>
      <c r="K421" s="87"/>
    </row>
    <row r="422">
      <c r="C422" s="86"/>
      <c r="J422" s="87"/>
      <c r="K422" s="87"/>
    </row>
    <row r="423">
      <c r="C423" s="86"/>
      <c r="J423" s="87"/>
      <c r="K423" s="87"/>
    </row>
    <row r="424">
      <c r="C424" s="86"/>
      <c r="J424" s="87"/>
      <c r="K424" s="87"/>
    </row>
    <row r="425">
      <c r="C425" s="86"/>
      <c r="J425" s="87"/>
      <c r="K425" s="87"/>
    </row>
    <row r="426">
      <c r="C426" s="86"/>
      <c r="J426" s="87"/>
      <c r="K426" s="87"/>
    </row>
    <row r="427">
      <c r="C427" s="86"/>
      <c r="J427" s="87"/>
      <c r="K427" s="87"/>
    </row>
    <row r="428">
      <c r="C428" s="86"/>
      <c r="J428" s="87"/>
      <c r="K428" s="87"/>
    </row>
    <row r="429">
      <c r="C429" s="86"/>
      <c r="J429" s="87"/>
      <c r="K429" s="87"/>
    </row>
    <row r="430">
      <c r="C430" s="86"/>
      <c r="J430" s="87"/>
      <c r="K430" s="87"/>
    </row>
    <row r="431">
      <c r="C431" s="86"/>
      <c r="J431" s="87"/>
      <c r="K431" s="87"/>
    </row>
    <row r="432">
      <c r="C432" s="86"/>
      <c r="J432" s="87"/>
      <c r="K432" s="87"/>
    </row>
    <row r="433">
      <c r="C433" s="86"/>
      <c r="J433" s="87"/>
      <c r="K433" s="87"/>
    </row>
    <row r="434">
      <c r="C434" s="86"/>
      <c r="J434" s="87"/>
      <c r="K434" s="87"/>
    </row>
    <row r="435">
      <c r="C435" s="86"/>
      <c r="J435" s="87"/>
      <c r="K435" s="87"/>
    </row>
    <row r="436">
      <c r="C436" s="86"/>
      <c r="J436" s="87"/>
      <c r="K436" s="87"/>
    </row>
    <row r="437">
      <c r="C437" s="86"/>
      <c r="J437" s="87"/>
      <c r="K437" s="87"/>
    </row>
    <row r="438">
      <c r="C438" s="86"/>
      <c r="J438" s="87"/>
      <c r="K438" s="87"/>
    </row>
    <row r="439">
      <c r="C439" s="86"/>
      <c r="J439" s="87"/>
      <c r="K439" s="87"/>
    </row>
    <row r="440">
      <c r="C440" s="86"/>
      <c r="J440" s="87"/>
      <c r="K440" s="87"/>
    </row>
    <row r="441">
      <c r="C441" s="86"/>
      <c r="J441" s="87"/>
      <c r="K441" s="87"/>
    </row>
    <row r="442">
      <c r="C442" s="86"/>
      <c r="J442" s="87"/>
      <c r="K442" s="87"/>
    </row>
    <row r="443">
      <c r="C443" s="86"/>
      <c r="J443" s="87"/>
      <c r="K443" s="87"/>
    </row>
    <row r="444">
      <c r="C444" s="86"/>
      <c r="J444" s="87"/>
      <c r="K444" s="87"/>
    </row>
    <row r="445">
      <c r="C445" s="86"/>
      <c r="J445" s="87"/>
      <c r="K445" s="87"/>
    </row>
    <row r="446">
      <c r="C446" s="86"/>
      <c r="J446" s="87"/>
      <c r="K446" s="87"/>
    </row>
    <row r="447">
      <c r="C447" s="86"/>
      <c r="J447" s="87"/>
      <c r="K447" s="87"/>
    </row>
    <row r="448">
      <c r="C448" s="86"/>
      <c r="J448" s="87"/>
      <c r="K448" s="87"/>
    </row>
    <row r="449">
      <c r="C449" s="86"/>
      <c r="J449" s="87"/>
      <c r="K449" s="87"/>
    </row>
    <row r="450">
      <c r="C450" s="86"/>
      <c r="J450" s="87"/>
      <c r="K450" s="87"/>
    </row>
    <row r="451">
      <c r="C451" s="86"/>
      <c r="J451" s="87"/>
      <c r="K451" s="87"/>
    </row>
    <row r="452">
      <c r="C452" s="86"/>
      <c r="J452" s="87"/>
      <c r="K452" s="87"/>
    </row>
    <row r="453">
      <c r="C453" s="86"/>
      <c r="J453" s="87"/>
      <c r="K453" s="87"/>
    </row>
    <row r="454">
      <c r="C454" s="86"/>
      <c r="J454" s="87"/>
      <c r="K454" s="87"/>
    </row>
    <row r="455">
      <c r="C455" s="86"/>
      <c r="J455" s="87"/>
      <c r="K455" s="87"/>
    </row>
    <row r="456">
      <c r="C456" s="86"/>
      <c r="J456" s="87"/>
      <c r="K456" s="87"/>
    </row>
    <row r="457">
      <c r="C457" s="86"/>
      <c r="J457" s="87"/>
      <c r="K457" s="87"/>
    </row>
    <row r="458">
      <c r="C458" s="86"/>
      <c r="J458" s="87"/>
      <c r="K458" s="87"/>
    </row>
    <row r="459">
      <c r="C459" s="86"/>
      <c r="J459" s="87"/>
      <c r="K459" s="87"/>
    </row>
    <row r="460">
      <c r="C460" s="86"/>
      <c r="J460" s="87"/>
      <c r="K460" s="87"/>
    </row>
    <row r="461">
      <c r="C461" s="86"/>
      <c r="J461" s="87"/>
      <c r="K461" s="87"/>
    </row>
    <row r="462">
      <c r="C462" s="86"/>
      <c r="J462" s="87"/>
      <c r="K462" s="87"/>
    </row>
    <row r="463">
      <c r="C463" s="86"/>
      <c r="J463" s="87"/>
      <c r="K463" s="87"/>
    </row>
    <row r="464">
      <c r="C464" s="86"/>
      <c r="J464" s="87"/>
      <c r="K464" s="87"/>
    </row>
    <row r="465">
      <c r="C465" s="86"/>
      <c r="J465" s="87"/>
      <c r="K465" s="87"/>
    </row>
    <row r="466">
      <c r="C466" s="86"/>
      <c r="J466" s="87"/>
      <c r="K466" s="87"/>
    </row>
    <row r="467">
      <c r="C467" s="86"/>
      <c r="J467" s="87"/>
      <c r="K467" s="87"/>
    </row>
    <row r="468">
      <c r="C468" s="86"/>
      <c r="J468" s="87"/>
      <c r="K468" s="87"/>
    </row>
    <row r="469">
      <c r="C469" s="86"/>
      <c r="J469" s="87"/>
      <c r="K469" s="87"/>
    </row>
    <row r="470">
      <c r="C470" s="86"/>
      <c r="J470" s="87"/>
      <c r="K470" s="87"/>
    </row>
    <row r="471">
      <c r="C471" s="86"/>
      <c r="J471" s="87"/>
      <c r="K471" s="87"/>
    </row>
    <row r="472">
      <c r="C472" s="86"/>
      <c r="J472" s="87"/>
      <c r="K472" s="87"/>
    </row>
    <row r="473">
      <c r="C473" s="86"/>
      <c r="J473" s="87"/>
      <c r="K473" s="87"/>
    </row>
    <row r="474">
      <c r="C474" s="86"/>
      <c r="J474" s="87"/>
      <c r="K474" s="87"/>
    </row>
    <row r="475">
      <c r="C475" s="86"/>
      <c r="J475" s="87"/>
      <c r="K475" s="87"/>
    </row>
    <row r="476">
      <c r="C476" s="86"/>
      <c r="J476" s="87"/>
      <c r="K476" s="87"/>
    </row>
    <row r="477">
      <c r="C477" s="86"/>
      <c r="J477" s="87"/>
      <c r="K477" s="87"/>
    </row>
    <row r="478">
      <c r="C478" s="86"/>
      <c r="J478" s="87"/>
      <c r="K478" s="87"/>
    </row>
    <row r="479">
      <c r="C479" s="86"/>
      <c r="J479" s="87"/>
      <c r="K479" s="87"/>
    </row>
    <row r="480">
      <c r="C480" s="86"/>
      <c r="J480" s="87"/>
      <c r="K480" s="87"/>
    </row>
    <row r="481">
      <c r="C481" s="86"/>
      <c r="J481" s="87"/>
      <c r="K481" s="87"/>
    </row>
    <row r="482">
      <c r="C482" s="86"/>
      <c r="J482" s="87"/>
      <c r="K482" s="87"/>
    </row>
    <row r="483">
      <c r="C483" s="86"/>
      <c r="J483" s="87"/>
      <c r="K483" s="87"/>
    </row>
    <row r="484">
      <c r="C484" s="86"/>
      <c r="J484" s="87"/>
      <c r="K484" s="87"/>
    </row>
    <row r="485">
      <c r="C485" s="86"/>
      <c r="J485" s="87"/>
      <c r="K485" s="87"/>
    </row>
    <row r="486">
      <c r="C486" s="86"/>
      <c r="J486" s="87"/>
      <c r="K486" s="87"/>
    </row>
    <row r="487">
      <c r="C487" s="86"/>
      <c r="J487" s="87"/>
      <c r="K487" s="87"/>
    </row>
    <row r="488">
      <c r="C488" s="86"/>
      <c r="J488" s="87"/>
      <c r="K488" s="87"/>
    </row>
    <row r="489">
      <c r="C489" s="86"/>
      <c r="J489" s="87"/>
      <c r="K489" s="87"/>
    </row>
    <row r="490">
      <c r="C490" s="86"/>
      <c r="J490" s="87"/>
      <c r="K490" s="87"/>
    </row>
    <row r="491">
      <c r="C491" s="86"/>
      <c r="J491" s="87"/>
      <c r="K491" s="87"/>
    </row>
    <row r="492">
      <c r="C492" s="86"/>
      <c r="J492" s="87"/>
      <c r="K492" s="87"/>
    </row>
    <row r="493">
      <c r="C493" s="86"/>
      <c r="J493" s="87"/>
      <c r="K493" s="87"/>
    </row>
    <row r="494">
      <c r="C494" s="86"/>
      <c r="J494" s="87"/>
      <c r="K494" s="87"/>
    </row>
    <row r="495">
      <c r="C495" s="86"/>
      <c r="J495" s="87"/>
      <c r="K495" s="87"/>
    </row>
    <row r="496">
      <c r="C496" s="86"/>
      <c r="J496" s="87"/>
      <c r="K496" s="87"/>
    </row>
    <row r="497">
      <c r="C497" s="86"/>
      <c r="J497" s="87"/>
      <c r="K497" s="87"/>
    </row>
    <row r="498">
      <c r="C498" s="86"/>
      <c r="J498" s="87"/>
      <c r="K498" s="87"/>
    </row>
    <row r="499">
      <c r="C499" s="86"/>
      <c r="J499" s="87"/>
      <c r="K499" s="87"/>
    </row>
    <row r="500">
      <c r="C500" s="86"/>
      <c r="J500" s="87"/>
      <c r="K500" s="87"/>
    </row>
    <row r="501">
      <c r="C501" s="86"/>
      <c r="J501" s="87"/>
      <c r="K501" s="87"/>
    </row>
    <row r="502">
      <c r="C502" s="86"/>
      <c r="J502" s="87"/>
      <c r="K502" s="87"/>
    </row>
    <row r="503">
      <c r="C503" s="86"/>
      <c r="J503" s="87"/>
      <c r="K503" s="87"/>
    </row>
    <row r="504">
      <c r="C504" s="86"/>
      <c r="J504" s="87"/>
      <c r="K504" s="87"/>
    </row>
    <row r="505">
      <c r="C505" s="86"/>
      <c r="J505" s="87"/>
      <c r="K505" s="87"/>
    </row>
    <row r="506">
      <c r="C506" s="86"/>
      <c r="J506" s="87"/>
      <c r="K506" s="87"/>
    </row>
    <row r="507">
      <c r="C507" s="86"/>
      <c r="J507" s="87"/>
      <c r="K507" s="87"/>
    </row>
    <row r="508">
      <c r="C508" s="86"/>
      <c r="J508" s="87"/>
      <c r="K508" s="87"/>
    </row>
    <row r="509">
      <c r="C509" s="86"/>
      <c r="J509" s="87"/>
      <c r="K509" s="87"/>
    </row>
    <row r="510">
      <c r="C510" s="86"/>
      <c r="J510" s="87"/>
      <c r="K510" s="87"/>
    </row>
    <row r="511">
      <c r="C511" s="86"/>
      <c r="J511" s="87"/>
      <c r="K511" s="87"/>
    </row>
    <row r="512">
      <c r="C512" s="86"/>
      <c r="J512" s="87"/>
      <c r="K512" s="87"/>
    </row>
    <row r="513">
      <c r="C513" s="86"/>
      <c r="J513" s="87"/>
      <c r="K513" s="87"/>
    </row>
    <row r="514">
      <c r="C514" s="86"/>
      <c r="J514" s="87"/>
      <c r="K514" s="87"/>
    </row>
    <row r="515">
      <c r="C515" s="86"/>
      <c r="J515" s="87"/>
      <c r="K515" s="87"/>
    </row>
    <row r="516">
      <c r="C516" s="86"/>
      <c r="J516" s="87"/>
      <c r="K516" s="87"/>
    </row>
    <row r="517">
      <c r="C517" s="86"/>
      <c r="J517" s="87"/>
      <c r="K517" s="87"/>
    </row>
    <row r="518">
      <c r="C518" s="86"/>
      <c r="J518" s="87"/>
      <c r="K518" s="87"/>
    </row>
    <row r="519">
      <c r="C519" s="86"/>
      <c r="J519" s="87"/>
      <c r="K519" s="87"/>
    </row>
    <row r="520">
      <c r="C520" s="86"/>
      <c r="J520" s="87"/>
      <c r="K520" s="87"/>
    </row>
    <row r="521">
      <c r="C521" s="86"/>
      <c r="J521" s="87"/>
      <c r="K521" s="87"/>
    </row>
    <row r="522">
      <c r="C522" s="86"/>
      <c r="J522" s="87"/>
      <c r="K522" s="87"/>
    </row>
    <row r="523">
      <c r="C523" s="86"/>
      <c r="J523" s="87"/>
      <c r="K523" s="87"/>
    </row>
    <row r="524">
      <c r="C524" s="86"/>
      <c r="J524" s="87"/>
      <c r="K524" s="87"/>
    </row>
    <row r="525">
      <c r="C525" s="86"/>
      <c r="J525" s="87"/>
      <c r="K525" s="87"/>
    </row>
    <row r="526">
      <c r="C526" s="86"/>
      <c r="J526" s="87"/>
      <c r="K526" s="87"/>
    </row>
    <row r="527">
      <c r="C527" s="86"/>
      <c r="J527" s="87"/>
      <c r="K527" s="87"/>
    </row>
    <row r="528">
      <c r="C528" s="86"/>
      <c r="J528" s="87"/>
      <c r="K528" s="87"/>
    </row>
    <row r="529">
      <c r="C529" s="86"/>
      <c r="J529" s="87"/>
      <c r="K529" s="87"/>
    </row>
    <row r="530">
      <c r="C530" s="86"/>
      <c r="J530" s="87"/>
      <c r="K530" s="87"/>
    </row>
    <row r="531">
      <c r="C531" s="86"/>
      <c r="J531" s="87"/>
      <c r="K531" s="87"/>
    </row>
    <row r="532">
      <c r="C532" s="86"/>
      <c r="J532" s="87"/>
      <c r="K532" s="87"/>
    </row>
    <row r="533">
      <c r="C533" s="86"/>
      <c r="J533" s="87"/>
      <c r="K533" s="87"/>
    </row>
    <row r="534">
      <c r="C534" s="86"/>
      <c r="J534" s="87"/>
      <c r="K534" s="87"/>
    </row>
    <row r="535">
      <c r="C535" s="86"/>
      <c r="J535" s="87"/>
      <c r="K535" s="87"/>
    </row>
    <row r="536">
      <c r="C536" s="86"/>
      <c r="J536" s="87"/>
      <c r="K536" s="87"/>
    </row>
    <row r="537">
      <c r="C537" s="86"/>
      <c r="J537" s="87"/>
      <c r="K537" s="87"/>
    </row>
    <row r="538">
      <c r="C538" s="86"/>
      <c r="J538" s="87"/>
      <c r="K538" s="87"/>
    </row>
    <row r="539">
      <c r="C539" s="86"/>
      <c r="J539" s="87"/>
      <c r="K539" s="87"/>
    </row>
    <row r="540">
      <c r="C540" s="86"/>
      <c r="J540" s="87"/>
      <c r="K540" s="87"/>
    </row>
    <row r="541">
      <c r="C541" s="86"/>
      <c r="J541" s="87"/>
      <c r="K541" s="87"/>
    </row>
    <row r="542">
      <c r="C542" s="86"/>
      <c r="J542" s="87"/>
      <c r="K542" s="87"/>
    </row>
    <row r="543">
      <c r="C543" s="86"/>
      <c r="J543" s="87"/>
      <c r="K543" s="87"/>
    </row>
    <row r="544">
      <c r="C544" s="86"/>
      <c r="J544" s="87"/>
      <c r="K544" s="87"/>
    </row>
    <row r="545">
      <c r="C545" s="86"/>
      <c r="J545" s="87"/>
      <c r="K545" s="87"/>
    </row>
    <row r="546">
      <c r="C546" s="86"/>
      <c r="J546" s="87"/>
      <c r="K546" s="87"/>
    </row>
    <row r="547">
      <c r="C547" s="86"/>
      <c r="J547" s="87"/>
      <c r="K547" s="87"/>
    </row>
    <row r="548">
      <c r="C548" s="86"/>
      <c r="J548" s="87"/>
      <c r="K548" s="87"/>
    </row>
    <row r="549">
      <c r="C549" s="86"/>
      <c r="J549" s="87"/>
      <c r="K549" s="87"/>
    </row>
    <row r="550">
      <c r="C550" s="86"/>
      <c r="J550" s="87"/>
      <c r="K550" s="87"/>
    </row>
    <row r="551">
      <c r="C551" s="86"/>
      <c r="J551" s="87"/>
      <c r="K551" s="87"/>
    </row>
    <row r="552">
      <c r="C552" s="86"/>
      <c r="J552" s="87"/>
      <c r="K552" s="87"/>
    </row>
    <row r="553">
      <c r="C553" s="86"/>
      <c r="J553" s="87"/>
      <c r="K553" s="87"/>
    </row>
    <row r="554">
      <c r="C554" s="86"/>
      <c r="J554" s="87"/>
      <c r="K554" s="87"/>
    </row>
    <row r="555">
      <c r="C555" s="86"/>
      <c r="J555" s="87"/>
      <c r="K555" s="87"/>
    </row>
    <row r="556">
      <c r="C556" s="86"/>
      <c r="J556" s="87"/>
      <c r="K556" s="87"/>
    </row>
    <row r="557">
      <c r="C557" s="86"/>
      <c r="J557" s="87"/>
      <c r="K557" s="87"/>
    </row>
    <row r="558">
      <c r="C558" s="86"/>
      <c r="J558" s="87"/>
      <c r="K558" s="87"/>
    </row>
    <row r="559">
      <c r="C559" s="86"/>
      <c r="J559" s="87"/>
      <c r="K559" s="87"/>
    </row>
    <row r="560">
      <c r="C560" s="86"/>
      <c r="J560" s="87"/>
      <c r="K560" s="87"/>
    </row>
    <row r="561">
      <c r="C561" s="86"/>
      <c r="J561" s="87"/>
      <c r="K561" s="87"/>
    </row>
    <row r="562">
      <c r="C562" s="86"/>
      <c r="J562" s="87"/>
      <c r="K562" s="87"/>
    </row>
    <row r="563">
      <c r="C563" s="86"/>
      <c r="J563" s="87"/>
      <c r="K563" s="87"/>
    </row>
    <row r="564">
      <c r="C564" s="86"/>
      <c r="J564" s="87"/>
      <c r="K564" s="87"/>
    </row>
    <row r="565">
      <c r="C565" s="86"/>
      <c r="J565" s="87"/>
      <c r="K565" s="87"/>
    </row>
    <row r="566">
      <c r="C566" s="86"/>
      <c r="J566" s="87"/>
      <c r="K566" s="87"/>
    </row>
    <row r="567">
      <c r="C567" s="86"/>
      <c r="J567" s="87"/>
      <c r="K567" s="87"/>
    </row>
    <row r="568">
      <c r="C568" s="86"/>
      <c r="J568" s="87"/>
      <c r="K568" s="87"/>
    </row>
    <row r="569">
      <c r="C569" s="86"/>
      <c r="J569" s="87"/>
      <c r="K569" s="87"/>
    </row>
    <row r="570">
      <c r="C570" s="86"/>
      <c r="J570" s="87"/>
      <c r="K570" s="87"/>
    </row>
    <row r="571">
      <c r="C571" s="86"/>
      <c r="J571" s="87"/>
      <c r="K571" s="87"/>
    </row>
    <row r="572">
      <c r="C572" s="86"/>
      <c r="J572" s="87"/>
      <c r="K572" s="87"/>
    </row>
    <row r="573">
      <c r="C573" s="86"/>
      <c r="J573" s="87"/>
      <c r="K573" s="87"/>
    </row>
    <row r="574">
      <c r="C574" s="86"/>
      <c r="J574" s="87"/>
      <c r="K574" s="87"/>
    </row>
    <row r="575">
      <c r="C575" s="86"/>
      <c r="J575" s="87"/>
      <c r="K575" s="87"/>
    </row>
    <row r="576">
      <c r="C576" s="86"/>
      <c r="J576" s="87"/>
      <c r="K576" s="87"/>
    </row>
    <row r="577">
      <c r="C577" s="86"/>
      <c r="J577" s="87"/>
      <c r="K577" s="87"/>
    </row>
    <row r="578">
      <c r="C578" s="86"/>
      <c r="J578" s="87"/>
      <c r="K578" s="87"/>
    </row>
    <row r="579">
      <c r="C579" s="86"/>
      <c r="J579" s="87"/>
      <c r="K579" s="87"/>
    </row>
    <row r="580">
      <c r="C580" s="86"/>
      <c r="J580" s="87"/>
      <c r="K580" s="87"/>
    </row>
    <row r="581">
      <c r="C581" s="86"/>
      <c r="J581" s="87"/>
      <c r="K581" s="87"/>
    </row>
    <row r="582">
      <c r="C582" s="86"/>
      <c r="J582" s="87"/>
      <c r="K582" s="87"/>
    </row>
    <row r="583">
      <c r="C583" s="86"/>
      <c r="J583" s="87"/>
      <c r="K583" s="87"/>
    </row>
    <row r="584">
      <c r="C584" s="86"/>
      <c r="J584" s="87"/>
      <c r="K584" s="87"/>
    </row>
    <row r="585">
      <c r="C585" s="86"/>
      <c r="J585" s="87"/>
      <c r="K585" s="87"/>
    </row>
    <row r="586">
      <c r="C586" s="86"/>
      <c r="J586" s="87"/>
      <c r="K586" s="87"/>
    </row>
    <row r="587">
      <c r="C587" s="86"/>
      <c r="J587" s="87"/>
      <c r="K587" s="87"/>
    </row>
    <row r="588">
      <c r="C588" s="86"/>
      <c r="J588" s="87"/>
      <c r="K588" s="87"/>
    </row>
    <row r="589">
      <c r="C589" s="86"/>
      <c r="J589" s="87"/>
      <c r="K589" s="87"/>
    </row>
    <row r="590">
      <c r="C590" s="86"/>
      <c r="J590" s="87"/>
      <c r="K590" s="87"/>
    </row>
    <row r="591">
      <c r="C591" s="86"/>
      <c r="J591" s="87"/>
      <c r="K591" s="87"/>
    </row>
    <row r="592">
      <c r="C592" s="86"/>
      <c r="J592" s="87"/>
      <c r="K592" s="87"/>
    </row>
    <row r="593">
      <c r="C593" s="86"/>
      <c r="J593" s="87"/>
      <c r="K593" s="87"/>
    </row>
    <row r="594">
      <c r="C594" s="86"/>
      <c r="J594" s="87"/>
      <c r="K594" s="87"/>
    </row>
    <row r="595">
      <c r="C595" s="86"/>
      <c r="J595" s="87"/>
      <c r="K595" s="87"/>
    </row>
    <row r="596">
      <c r="C596" s="86"/>
      <c r="J596" s="87"/>
      <c r="K596" s="87"/>
    </row>
    <row r="597">
      <c r="C597" s="86"/>
      <c r="J597" s="87"/>
      <c r="K597" s="87"/>
    </row>
    <row r="598">
      <c r="C598" s="86"/>
      <c r="J598" s="87"/>
      <c r="K598" s="87"/>
    </row>
    <row r="599">
      <c r="C599" s="86"/>
      <c r="J599" s="87"/>
      <c r="K599" s="87"/>
    </row>
    <row r="600">
      <c r="C600" s="86"/>
      <c r="J600" s="87"/>
      <c r="K600" s="87"/>
    </row>
    <row r="601">
      <c r="C601" s="86"/>
      <c r="J601" s="87"/>
      <c r="K601" s="87"/>
    </row>
    <row r="602">
      <c r="C602" s="86"/>
      <c r="J602" s="87"/>
      <c r="K602" s="87"/>
    </row>
    <row r="603">
      <c r="C603" s="86"/>
      <c r="J603" s="87"/>
      <c r="K603" s="87"/>
    </row>
    <row r="604">
      <c r="C604" s="86"/>
      <c r="J604" s="87"/>
      <c r="K604" s="87"/>
    </row>
    <row r="605">
      <c r="C605" s="86"/>
      <c r="J605" s="87"/>
      <c r="K605" s="87"/>
    </row>
    <row r="606">
      <c r="C606" s="86"/>
      <c r="J606" s="87"/>
      <c r="K606" s="87"/>
    </row>
    <row r="607">
      <c r="C607" s="86"/>
      <c r="J607" s="87"/>
      <c r="K607" s="87"/>
    </row>
    <row r="608">
      <c r="C608" s="86"/>
      <c r="J608" s="87"/>
      <c r="K608" s="87"/>
    </row>
    <row r="609">
      <c r="C609" s="86"/>
      <c r="J609" s="87"/>
      <c r="K609" s="87"/>
    </row>
    <row r="610">
      <c r="C610" s="86"/>
      <c r="J610" s="87"/>
      <c r="K610" s="87"/>
    </row>
    <row r="611">
      <c r="C611" s="86"/>
      <c r="J611" s="87"/>
      <c r="K611" s="87"/>
    </row>
    <row r="612">
      <c r="C612" s="86"/>
      <c r="J612" s="87"/>
      <c r="K612" s="87"/>
    </row>
    <row r="613">
      <c r="C613" s="86"/>
      <c r="J613" s="87"/>
      <c r="K613" s="87"/>
    </row>
    <row r="614">
      <c r="C614" s="86"/>
      <c r="J614" s="87"/>
      <c r="K614" s="87"/>
    </row>
    <row r="615">
      <c r="C615" s="86"/>
      <c r="J615" s="87"/>
      <c r="K615" s="87"/>
    </row>
    <row r="616">
      <c r="C616" s="86"/>
      <c r="J616" s="87"/>
      <c r="K616" s="87"/>
    </row>
    <row r="617">
      <c r="C617" s="86"/>
      <c r="J617" s="87"/>
      <c r="K617" s="87"/>
    </row>
    <row r="618">
      <c r="C618" s="86"/>
      <c r="J618" s="87"/>
      <c r="K618" s="87"/>
    </row>
    <row r="619">
      <c r="C619" s="86"/>
      <c r="J619" s="87"/>
      <c r="K619" s="87"/>
    </row>
    <row r="620">
      <c r="C620" s="86"/>
      <c r="J620" s="87"/>
      <c r="K620" s="87"/>
    </row>
    <row r="621">
      <c r="C621" s="86"/>
      <c r="J621" s="87"/>
      <c r="K621" s="87"/>
    </row>
    <row r="622">
      <c r="C622" s="86"/>
      <c r="J622" s="87"/>
      <c r="K622" s="87"/>
    </row>
    <row r="623">
      <c r="C623" s="86"/>
      <c r="J623" s="87"/>
      <c r="K623" s="87"/>
    </row>
    <row r="624">
      <c r="C624" s="86"/>
      <c r="J624" s="87"/>
      <c r="K624" s="87"/>
    </row>
    <row r="625">
      <c r="C625" s="86"/>
      <c r="J625" s="87"/>
      <c r="K625" s="87"/>
    </row>
    <row r="626">
      <c r="C626" s="86"/>
      <c r="J626" s="87"/>
      <c r="K626" s="87"/>
    </row>
    <row r="627">
      <c r="C627" s="86"/>
      <c r="J627" s="87"/>
      <c r="K627" s="87"/>
    </row>
    <row r="628">
      <c r="C628" s="86"/>
      <c r="J628" s="87"/>
      <c r="K628" s="87"/>
    </row>
    <row r="629">
      <c r="C629" s="86"/>
      <c r="J629" s="87"/>
      <c r="K629" s="87"/>
    </row>
    <row r="630">
      <c r="C630" s="86"/>
      <c r="J630" s="87"/>
      <c r="K630" s="87"/>
    </row>
    <row r="631">
      <c r="C631" s="86"/>
      <c r="J631" s="87"/>
      <c r="K631" s="87"/>
    </row>
    <row r="632">
      <c r="C632" s="86"/>
      <c r="J632" s="87"/>
      <c r="K632" s="87"/>
    </row>
    <row r="633">
      <c r="C633" s="86"/>
      <c r="J633" s="87"/>
      <c r="K633" s="87"/>
    </row>
    <row r="634">
      <c r="C634" s="86"/>
      <c r="J634" s="87"/>
      <c r="K634" s="87"/>
    </row>
    <row r="635">
      <c r="C635" s="86"/>
      <c r="J635" s="87"/>
      <c r="K635" s="87"/>
    </row>
    <row r="636">
      <c r="C636" s="86"/>
      <c r="J636" s="87"/>
      <c r="K636" s="87"/>
    </row>
    <row r="637">
      <c r="C637" s="86"/>
      <c r="J637" s="87"/>
      <c r="K637" s="87"/>
    </row>
    <row r="638">
      <c r="C638" s="86"/>
      <c r="J638" s="87"/>
      <c r="K638" s="87"/>
    </row>
    <row r="639">
      <c r="C639" s="86"/>
      <c r="J639" s="87"/>
      <c r="K639" s="87"/>
    </row>
    <row r="640">
      <c r="C640" s="86"/>
      <c r="J640" s="87"/>
      <c r="K640" s="87"/>
    </row>
    <row r="641">
      <c r="C641" s="86"/>
      <c r="J641" s="87"/>
      <c r="K641" s="87"/>
    </row>
    <row r="642">
      <c r="C642" s="86"/>
      <c r="J642" s="87"/>
      <c r="K642" s="87"/>
    </row>
    <row r="643">
      <c r="C643" s="86"/>
      <c r="J643" s="87"/>
      <c r="K643" s="87"/>
    </row>
    <row r="644">
      <c r="C644" s="86"/>
      <c r="J644" s="87"/>
      <c r="K644" s="87"/>
    </row>
    <row r="645">
      <c r="C645" s="86"/>
      <c r="J645" s="87"/>
      <c r="K645" s="87"/>
    </row>
    <row r="646">
      <c r="C646" s="86"/>
      <c r="J646" s="87"/>
      <c r="K646" s="87"/>
    </row>
    <row r="647">
      <c r="C647" s="86"/>
      <c r="J647" s="87"/>
      <c r="K647" s="87"/>
    </row>
    <row r="648">
      <c r="C648" s="86"/>
      <c r="J648" s="87"/>
      <c r="K648" s="87"/>
    </row>
    <row r="649">
      <c r="C649" s="86"/>
      <c r="J649" s="87"/>
      <c r="K649" s="87"/>
    </row>
    <row r="650">
      <c r="C650" s="86"/>
      <c r="J650" s="87"/>
      <c r="K650" s="87"/>
    </row>
    <row r="651">
      <c r="C651" s="86"/>
      <c r="J651" s="87"/>
      <c r="K651" s="87"/>
    </row>
    <row r="652">
      <c r="C652" s="86"/>
      <c r="J652" s="87"/>
      <c r="K652" s="87"/>
    </row>
    <row r="653">
      <c r="C653" s="86"/>
      <c r="J653" s="87"/>
      <c r="K653" s="87"/>
    </row>
    <row r="654">
      <c r="C654" s="86"/>
      <c r="J654" s="87"/>
      <c r="K654" s="87"/>
    </row>
    <row r="655">
      <c r="C655" s="86"/>
      <c r="J655" s="87"/>
      <c r="K655" s="87"/>
    </row>
    <row r="656">
      <c r="C656" s="86"/>
      <c r="J656" s="87"/>
      <c r="K656" s="87"/>
    </row>
    <row r="657">
      <c r="C657" s="86"/>
      <c r="J657" s="87"/>
      <c r="K657" s="87"/>
    </row>
    <row r="658">
      <c r="C658" s="86"/>
      <c r="J658" s="87"/>
      <c r="K658" s="87"/>
    </row>
    <row r="659">
      <c r="C659" s="86"/>
      <c r="J659" s="87"/>
      <c r="K659" s="87"/>
    </row>
    <row r="660">
      <c r="C660" s="86"/>
      <c r="J660" s="87"/>
      <c r="K660" s="87"/>
    </row>
    <row r="661">
      <c r="C661" s="86"/>
      <c r="J661" s="87"/>
      <c r="K661" s="87"/>
    </row>
    <row r="662">
      <c r="C662" s="86"/>
      <c r="J662" s="87"/>
      <c r="K662" s="87"/>
    </row>
    <row r="663">
      <c r="C663" s="86"/>
      <c r="J663" s="87"/>
      <c r="K663" s="87"/>
    </row>
    <row r="664">
      <c r="C664" s="86"/>
      <c r="J664" s="87"/>
      <c r="K664" s="87"/>
    </row>
    <row r="665">
      <c r="C665" s="86"/>
      <c r="J665" s="87"/>
      <c r="K665" s="87"/>
    </row>
    <row r="666">
      <c r="C666" s="86"/>
      <c r="J666" s="87"/>
      <c r="K666" s="87"/>
    </row>
    <row r="667">
      <c r="C667" s="86"/>
      <c r="J667" s="87"/>
      <c r="K667" s="87"/>
    </row>
    <row r="668">
      <c r="C668" s="86"/>
      <c r="J668" s="87"/>
      <c r="K668" s="87"/>
    </row>
    <row r="669">
      <c r="C669" s="86"/>
      <c r="J669" s="87"/>
      <c r="K669" s="87"/>
    </row>
    <row r="670">
      <c r="C670" s="86"/>
      <c r="J670" s="87"/>
      <c r="K670" s="87"/>
    </row>
    <row r="671">
      <c r="C671" s="86"/>
      <c r="J671" s="87"/>
      <c r="K671" s="87"/>
    </row>
    <row r="672">
      <c r="C672" s="86"/>
      <c r="J672" s="87"/>
      <c r="K672" s="87"/>
    </row>
    <row r="673">
      <c r="C673" s="86"/>
      <c r="J673" s="87"/>
      <c r="K673" s="87"/>
    </row>
    <row r="674">
      <c r="C674" s="86"/>
      <c r="J674" s="87"/>
      <c r="K674" s="87"/>
    </row>
    <row r="675">
      <c r="C675" s="86"/>
      <c r="J675" s="87"/>
      <c r="K675" s="87"/>
    </row>
    <row r="676">
      <c r="C676" s="86"/>
      <c r="J676" s="87"/>
      <c r="K676" s="87"/>
    </row>
    <row r="677">
      <c r="C677" s="86"/>
      <c r="J677" s="87"/>
      <c r="K677" s="87"/>
    </row>
    <row r="678">
      <c r="C678" s="86"/>
      <c r="J678" s="87"/>
      <c r="K678" s="87"/>
    </row>
    <row r="679">
      <c r="C679" s="86"/>
      <c r="J679" s="87"/>
      <c r="K679" s="87"/>
    </row>
    <row r="680">
      <c r="C680" s="86"/>
      <c r="J680" s="87"/>
      <c r="K680" s="87"/>
    </row>
    <row r="681">
      <c r="C681" s="86"/>
      <c r="J681" s="87"/>
      <c r="K681" s="87"/>
    </row>
    <row r="682">
      <c r="C682" s="86"/>
      <c r="J682" s="87"/>
      <c r="K682" s="87"/>
    </row>
    <row r="683">
      <c r="C683" s="86"/>
      <c r="J683" s="87"/>
      <c r="K683" s="87"/>
    </row>
    <row r="684">
      <c r="C684" s="86"/>
      <c r="J684" s="87"/>
      <c r="K684" s="87"/>
    </row>
    <row r="685">
      <c r="C685" s="86"/>
      <c r="J685" s="87"/>
      <c r="K685" s="87"/>
    </row>
    <row r="686">
      <c r="C686" s="86"/>
      <c r="J686" s="87"/>
      <c r="K686" s="87"/>
    </row>
    <row r="687">
      <c r="C687" s="86"/>
      <c r="J687" s="87"/>
      <c r="K687" s="87"/>
    </row>
    <row r="688">
      <c r="C688" s="86"/>
      <c r="J688" s="87"/>
      <c r="K688" s="87"/>
    </row>
    <row r="689">
      <c r="C689" s="86"/>
      <c r="J689" s="87"/>
      <c r="K689" s="87"/>
    </row>
    <row r="690">
      <c r="C690" s="86"/>
      <c r="J690" s="87"/>
      <c r="K690" s="87"/>
    </row>
    <row r="691">
      <c r="C691" s="86"/>
      <c r="J691" s="87"/>
      <c r="K691" s="87"/>
    </row>
    <row r="692">
      <c r="C692" s="86"/>
      <c r="J692" s="87"/>
      <c r="K692" s="87"/>
    </row>
    <row r="693">
      <c r="C693" s="86"/>
      <c r="J693" s="87"/>
      <c r="K693" s="87"/>
    </row>
    <row r="694">
      <c r="C694" s="86"/>
      <c r="J694" s="87"/>
      <c r="K694" s="87"/>
    </row>
    <row r="695">
      <c r="C695" s="86"/>
      <c r="J695" s="87"/>
      <c r="K695" s="87"/>
    </row>
    <row r="696">
      <c r="C696" s="86"/>
      <c r="J696" s="87"/>
      <c r="K696" s="87"/>
    </row>
    <row r="697">
      <c r="C697" s="86"/>
      <c r="J697" s="87"/>
      <c r="K697" s="87"/>
    </row>
    <row r="698">
      <c r="C698" s="86"/>
      <c r="J698" s="87"/>
      <c r="K698" s="87"/>
    </row>
    <row r="699">
      <c r="C699" s="86"/>
      <c r="J699" s="87"/>
      <c r="K699" s="87"/>
    </row>
    <row r="700">
      <c r="C700" s="86"/>
      <c r="J700" s="87"/>
      <c r="K700" s="87"/>
    </row>
    <row r="701">
      <c r="C701" s="86"/>
      <c r="J701" s="87"/>
      <c r="K701" s="87"/>
    </row>
    <row r="702">
      <c r="C702" s="86"/>
      <c r="J702" s="87"/>
      <c r="K702" s="87"/>
    </row>
    <row r="703">
      <c r="C703" s="86"/>
      <c r="J703" s="87"/>
      <c r="K703" s="87"/>
    </row>
    <row r="704">
      <c r="C704" s="86"/>
      <c r="J704" s="87"/>
      <c r="K704" s="87"/>
    </row>
    <row r="705">
      <c r="C705" s="86"/>
      <c r="J705" s="87"/>
      <c r="K705" s="87"/>
    </row>
    <row r="706">
      <c r="C706" s="86"/>
      <c r="J706" s="87"/>
      <c r="K706" s="87"/>
    </row>
    <row r="707">
      <c r="C707" s="86"/>
      <c r="J707" s="87"/>
      <c r="K707" s="87"/>
    </row>
    <row r="708">
      <c r="C708" s="86"/>
      <c r="J708" s="87"/>
      <c r="K708" s="87"/>
    </row>
    <row r="709">
      <c r="C709" s="86"/>
      <c r="J709" s="87"/>
      <c r="K709" s="87"/>
    </row>
    <row r="710">
      <c r="C710" s="86"/>
      <c r="J710" s="87"/>
      <c r="K710" s="87"/>
    </row>
    <row r="711">
      <c r="C711" s="86"/>
      <c r="J711" s="87"/>
      <c r="K711" s="87"/>
    </row>
    <row r="712">
      <c r="C712" s="86"/>
      <c r="J712" s="87"/>
      <c r="K712" s="87"/>
    </row>
    <row r="713">
      <c r="C713" s="86"/>
      <c r="J713" s="87"/>
      <c r="K713" s="87"/>
    </row>
    <row r="714">
      <c r="C714" s="86"/>
      <c r="J714" s="87"/>
      <c r="K714" s="87"/>
    </row>
    <row r="715">
      <c r="C715" s="86"/>
      <c r="J715" s="87"/>
      <c r="K715" s="87"/>
    </row>
    <row r="716">
      <c r="C716" s="86"/>
      <c r="J716" s="87"/>
      <c r="K716" s="87"/>
    </row>
    <row r="717">
      <c r="C717" s="86"/>
      <c r="J717" s="87"/>
      <c r="K717" s="87"/>
    </row>
    <row r="718">
      <c r="C718" s="86"/>
      <c r="J718" s="87"/>
      <c r="K718" s="87"/>
    </row>
    <row r="719">
      <c r="C719" s="86"/>
      <c r="J719" s="87"/>
      <c r="K719" s="87"/>
    </row>
    <row r="720">
      <c r="C720" s="86"/>
      <c r="J720" s="87"/>
      <c r="K720" s="87"/>
    </row>
    <row r="721">
      <c r="C721" s="86"/>
      <c r="J721" s="87"/>
      <c r="K721" s="87"/>
    </row>
    <row r="722">
      <c r="C722" s="86"/>
      <c r="J722" s="87"/>
      <c r="K722" s="87"/>
    </row>
    <row r="723">
      <c r="C723" s="86"/>
      <c r="J723" s="87"/>
      <c r="K723" s="87"/>
    </row>
    <row r="724">
      <c r="C724" s="86"/>
      <c r="J724" s="87"/>
      <c r="K724" s="87"/>
    </row>
    <row r="725">
      <c r="C725" s="86"/>
      <c r="J725" s="87"/>
      <c r="K725" s="87"/>
    </row>
    <row r="726">
      <c r="C726" s="86"/>
      <c r="J726" s="87"/>
      <c r="K726" s="87"/>
    </row>
    <row r="727">
      <c r="C727" s="86"/>
      <c r="J727" s="87"/>
      <c r="K727" s="87"/>
    </row>
    <row r="728">
      <c r="C728" s="86"/>
      <c r="J728" s="87"/>
      <c r="K728" s="87"/>
    </row>
    <row r="729">
      <c r="C729" s="86"/>
      <c r="J729" s="87"/>
      <c r="K729" s="87"/>
    </row>
    <row r="730">
      <c r="C730" s="86"/>
      <c r="J730" s="87"/>
      <c r="K730" s="87"/>
    </row>
    <row r="731">
      <c r="C731" s="86"/>
      <c r="J731" s="87"/>
      <c r="K731" s="87"/>
    </row>
    <row r="732">
      <c r="C732" s="86"/>
      <c r="J732" s="87"/>
      <c r="K732" s="87"/>
    </row>
    <row r="733">
      <c r="C733" s="86"/>
      <c r="J733" s="87"/>
      <c r="K733" s="87"/>
    </row>
    <row r="734">
      <c r="C734" s="86"/>
      <c r="J734" s="87"/>
      <c r="K734" s="87"/>
    </row>
    <row r="735">
      <c r="C735" s="86"/>
      <c r="J735" s="87"/>
      <c r="K735" s="87"/>
    </row>
    <row r="736">
      <c r="C736" s="86"/>
      <c r="J736" s="87"/>
      <c r="K736" s="87"/>
    </row>
    <row r="737">
      <c r="C737" s="86"/>
      <c r="J737" s="87"/>
      <c r="K737" s="87"/>
    </row>
    <row r="738">
      <c r="C738" s="86"/>
      <c r="J738" s="87"/>
      <c r="K738" s="87"/>
    </row>
    <row r="739">
      <c r="C739" s="86"/>
      <c r="J739" s="87"/>
      <c r="K739" s="87"/>
    </row>
    <row r="740">
      <c r="C740" s="86"/>
      <c r="J740" s="87"/>
      <c r="K740" s="87"/>
    </row>
    <row r="741">
      <c r="C741" s="86"/>
      <c r="J741" s="87"/>
      <c r="K741" s="87"/>
    </row>
    <row r="742">
      <c r="C742" s="86"/>
      <c r="J742" s="87"/>
      <c r="K742" s="87"/>
    </row>
    <row r="743">
      <c r="C743" s="86"/>
      <c r="J743" s="87"/>
      <c r="K743" s="87"/>
    </row>
    <row r="744">
      <c r="C744" s="86"/>
      <c r="J744" s="87"/>
      <c r="K744" s="87"/>
    </row>
    <row r="745">
      <c r="C745" s="86"/>
      <c r="J745" s="87"/>
      <c r="K745" s="87"/>
    </row>
    <row r="746">
      <c r="C746" s="86"/>
      <c r="J746" s="87"/>
      <c r="K746" s="87"/>
    </row>
    <row r="747">
      <c r="C747" s="86"/>
      <c r="J747" s="87"/>
      <c r="K747" s="87"/>
    </row>
    <row r="748">
      <c r="C748" s="86"/>
      <c r="J748" s="87"/>
      <c r="K748" s="87"/>
    </row>
    <row r="749">
      <c r="C749" s="86"/>
      <c r="J749" s="87"/>
      <c r="K749" s="87"/>
    </row>
    <row r="750">
      <c r="C750" s="86"/>
      <c r="J750" s="87"/>
      <c r="K750" s="87"/>
    </row>
    <row r="751">
      <c r="C751" s="86"/>
      <c r="J751" s="87"/>
      <c r="K751" s="87"/>
    </row>
    <row r="752">
      <c r="C752" s="86"/>
      <c r="J752" s="87"/>
      <c r="K752" s="87"/>
    </row>
    <row r="753">
      <c r="C753" s="86"/>
      <c r="J753" s="87"/>
      <c r="K753" s="87"/>
    </row>
    <row r="754">
      <c r="C754" s="86"/>
      <c r="J754" s="87"/>
      <c r="K754" s="87"/>
    </row>
    <row r="755">
      <c r="C755" s="86"/>
      <c r="J755" s="87"/>
      <c r="K755" s="87"/>
    </row>
    <row r="756">
      <c r="C756" s="86"/>
      <c r="J756" s="87"/>
      <c r="K756" s="87"/>
    </row>
    <row r="757">
      <c r="C757" s="86"/>
      <c r="J757" s="87"/>
      <c r="K757" s="87"/>
    </row>
    <row r="758">
      <c r="C758" s="86"/>
      <c r="J758" s="87"/>
      <c r="K758" s="87"/>
    </row>
    <row r="759">
      <c r="C759" s="86"/>
      <c r="J759" s="87"/>
      <c r="K759" s="87"/>
    </row>
    <row r="760">
      <c r="C760" s="86"/>
      <c r="J760" s="87"/>
      <c r="K760" s="87"/>
    </row>
    <row r="761">
      <c r="C761" s="86"/>
      <c r="J761" s="87"/>
      <c r="K761" s="87"/>
    </row>
    <row r="762">
      <c r="C762" s="86"/>
      <c r="J762" s="87"/>
      <c r="K762" s="87"/>
    </row>
    <row r="763">
      <c r="C763" s="86"/>
      <c r="J763" s="87"/>
      <c r="K763" s="87"/>
    </row>
    <row r="764">
      <c r="C764" s="86"/>
      <c r="J764" s="87"/>
      <c r="K764" s="87"/>
    </row>
    <row r="765">
      <c r="C765" s="86"/>
      <c r="J765" s="87"/>
      <c r="K765" s="87"/>
    </row>
    <row r="766">
      <c r="C766" s="86"/>
      <c r="J766" s="87"/>
      <c r="K766" s="87"/>
    </row>
    <row r="767">
      <c r="C767" s="86"/>
      <c r="J767" s="87"/>
      <c r="K767" s="87"/>
    </row>
    <row r="768">
      <c r="C768" s="86"/>
      <c r="J768" s="87"/>
      <c r="K768" s="87"/>
    </row>
    <row r="769">
      <c r="C769" s="86"/>
      <c r="J769" s="87"/>
      <c r="K769" s="87"/>
    </row>
    <row r="770">
      <c r="C770" s="86"/>
      <c r="J770" s="87"/>
      <c r="K770" s="87"/>
    </row>
    <row r="771">
      <c r="C771" s="86"/>
      <c r="J771" s="87"/>
      <c r="K771" s="87"/>
    </row>
    <row r="772">
      <c r="C772" s="86"/>
      <c r="J772" s="87"/>
      <c r="K772" s="87"/>
    </row>
    <row r="773">
      <c r="C773" s="86"/>
      <c r="J773" s="87"/>
      <c r="K773" s="87"/>
    </row>
    <row r="774">
      <c r="C774" s="86"/>
      <c r="J774" s="87"/>
      <c r="K774" s="87"/>
    </row>
    <row r="775">
      <c r="C775" s="86"/>
      <c r="J775" s="87"/>
      <c r="K775" s="87"/>
    </row>
    <row r="776">
      <c r="C776" s="86"/>
      <c r="J776" s="87"/>
      <c r="K776" s="87"/>
    </row>
    <row r="777">
      <c r="C777" s="86"/>
      <c r="J777" s="87"/>
      <c r="K777" s="87"/>
    </row>
    <row r="778">
      <c r="C778" s="86"/>
      <c r="J778" s="87"/>
      <c r="K778" s="87"/>
    </row>
    <row r="779">
      <c r="C779" s="86"/>
      <c r="J779" s="87"/>
      <c r="K779" s="87"/>
    </row>
    <row r="780">
      <c r="C780" s="86"/>
      <c r="J780" s="87"/>
      <c r="K780" s="87"/>
    </row>
    <row r="781">
      <c r="C781" s="86"/>
      <c r="J781" s="87"/>
      <c r="K781" s="87"/>
    </row>
    <row r="782">
      <c r="C782" s="86"/>
      <c r="J782" s="87"/>
      <c r="K782" s="87"/>
    </row>
    <row r="783">
      <c r="C783" s="86"/>
      <c r="J783" s="87"/>
      <c r="K783" s="87"/>
    </row>
    <row r="784">
      <c r="C784" s="86"/>
      <c r="J784" s="87"/>
      <c r="K784" s="87"/>
    </row>
    <row r="785">
      <c r="C785" s="86"/>
      <c r="J785" s="87"/>
      <c r="K785" s="87"/>
    </row>
    <row r="786">
      <c r="C786" s="86"/>
      <c r="J786" s="87"/>
      <c r="K786" s="87"/>
    </row>
    <row r="787">
      <c r="C787" s="86"/>
      <c r="J787" s="87"/>
      <c r="K787" s="87"/>
    </row>
    <row r="788">
      <c r="C788" s="86"/>
      <c r="J788" s="87"/>
      <c r="K788" s="87"/>
    </row>
    <row r="789">
      <c r="C789" s="86"/>
      <c r="J789" s="87"/>
      <c r="K789" s="87"/>
    </row>
    <row r="790">
      <c r="C790" s="86"/>
      <c r="J790" s="87"/>
      <c r="K790" s="87"/>
    </row>
    <row r="791">
      <c r="C791" s="86"/>
      <c r="J791" s="87"/>
      <c r="K791" s="87"/>
    </row>
    <row r="792">
      <c r="C792" s="86"/>
      <c r="J792" s="87"/>
      <c r="K792" s="87"/>
    </row>
    <row r="793">
      <c r="C793" s="86"/>
      <c r="J793" s="87"/>
      <c r="K793" s="87"/>
    </row>
    <row r="794">
      <c r="C794" s="86"/>
      <c r="J794" s="87"/>
      <c r="K794" s="87"/>
    </row>
    <row r="795">
      <c r="C795" s="86"/>
      <c r="J795" s="87"/>
      <c r="K795" s="87"/>
    </row>
    <row r="796">
      <c r="C796" s="86"/>
      <c r="J796" s="87"/>
      <c r="K796" s="87"/>
    </row>
    <row r="797">
      <c r="C797" s="86"/>
      <c r="J797" s="87"/>
      <c r="K797" s="87"/>
    </row>
    <row r="798">
      <c r="C798" s="86"/>
      <c r="J798" s="87"/>
      <c r="K798" s="87"/>
    </row>
    <row r="799">
      <c r="C799" s="86"/>
      <c r="J799" s="87"/>
      <c r="K799" s="87"/>
    </row>
    <row r="800">
      <c r="C800" s="86"/>
      <c r="J800" s="87"/>
      <c r="K800" s="87"/>
    </row>
    <row r="801">
      <c r="C801" s="86"/>
      <c r="J801" s="87"/>
      <c r="K801" s="87"/>
    </row>
    <row r="802">
      <c r="C802" s="86"/>
      <c r="J802" s="87"/>
      <c r="K802" s="87"/>
    </row>
    <row r="803">
      <c r="C803" s="86"/>
      <c r="J803" s="87"/>
      <c r="K803" s="87"/>
    </row>
    <row r="804">
      <c r="C804" s="86"/>
      <c r="J804" s="87"/>
      <c r="K804" s="87"/>
    </row>
    <row r="805">
      <c r="C805" s="86"/>
      <c r="J805" s="87"/>
      <c r="K805" s="87"/>
    </row>
    <row r="806">
      <c r="C806" s="86"/>
      <c r="J806" s="87"/>
      <c r="K806" s="87"/>
    </row>
    <row r="807">
      <c r="C807" s="86"/>
      <c r="J807" s="87"/>
      <c r="K807" s="87"/>
    </row>
    <row r="808">
      <c r="C808" s="86"/>
      <c r="J808" s="87"/>
      <c r="K808" s="87"/>
    </row>
    <row r="809">
      <c r="C809" s="86"/>
      <c r="J809" s="87"/>
      <c r="K809" s="87"/>
    </row>
    <row r="810">
      <c r="C810" s="86"/>
      <c r="J810" s="87"/>
      <c r="K810" s="87"/>
    </row>
    <row r="811">
      <c r="C811" s="86"/>
      <c r="J811" s="87"/>
      <c r="K811" s="87"/>
    </row>
    <row r="812">
      <c r="C812" s="86"/>
      <c r="J812" s="87"/>
      <c r="K812" s="87"/>
    </row>
    <row r="813">
      <c r="C813" s="86"/>
      <c r="J813" s="87"/>
      <c r="K813" s="87"/>
    </row>
    <row r="814">
      <c r="C814" s="86"/>
      <c r="J814" s="87"/>
      <c r="K814" s="87"/>
    </row>
    <row r="815">
      <c r="C815" s="86"/>
      <c r="J815" s="87"/>
      <c r="K815" s="87"/>
    </row>
    <row r="816">
      <c r="C816" s="86"/>
      <c r="J816" s="87"/>
      <c r="K816" s="87"/>
    </row>
    <row r="817">
      <c r="C817" s="86"/>
      <c r="J817" s="87"/>
      <c r="K817" s="87"/>
    </row>
    <row r="818">
      <c r="C818" s="86"/>
      <c r="J818" s="87"/>
      <c r="K818" s="87"/>
    </row>
    <row r="819">
      <c r="C819" s="86"/>
      <c r="J819" s="87"/>
      <c r="K819" s="87"/>
    </row>
    <row r="820">
      <c r="C820" s="86"/>
      <c r="J820" s="87"/>
      <c r="K820" s="87"/>
    </row>
    <row r="821">
      <c r="C821" s="86"/>
      <c r="J821" s="87"/>
      <c r="K821" s="87"/>
    </row>
    <row r="822">
      <c r="C822" s="86"/>
      <c r="J822" s="87"/>
      <c r="K822" s="87"/>
    </row>
    <row r="823">
      <c r="C823" s="86"/>
      <c r="J823" s="87"/>
      <c r="K823" s="87"/>
    </row>
    <row r="824">
      <c r="C824" s="86"/>
      <c r="J824" s="87"/>
      <c r="K824" s="87"/>
    </row>
    <row r="825">
      <c r="C825" s="86"/>
      <c r="J825" s="87"/>
      <c r="K825" s="87"/>
    </row>
    <row r="826">
      <c r="C826" s="86"/>
      <c r="J826" s="87"/>
      <c r="K826" s="87"/>
    </row>
    <row r="827">
      <c r="C827" s="86"/>
      <c r="J827" s="87"/>
      <c r="K827" s="87"/>
    </row>
    <row r="828">
      <c r="C828" s="86"/>
      <c r="J828" s="87"/>
      <c r="K828" s="87"/>
    </row>
    <row r="829">
      <c r="C829" s="86"/>
      <c r="J829" s="87"/>
      <c r="K829" s="87"/>
    </row>
    <row r="830">
      <c r="C830" s="86"/>
      <c r="J830" s="87"/>
      <c r="K830" s="87"/>
    </row>
    <row r="831">
      <c r="C831" s="86"/>
      <c r="J831" s="87"/>
      <c r="K831" s="87"/>
    </row>
    <row r="832">
      <c r="C832" s="86"/>
      <c r="J832" s="87"/>
      <c r="K832" s="87"/>
    </row>
    <row r="833">
      <c r="C833" s="86"/>
      <c r="J833" s="87"/>
      <c r="K833" s="87"/>
    </row>
    <row r="834">
      <c r="C834" s="86"/>
      <c r="J834" s="87"/>
      <c r="K834" s="87"/>
    </row>
    <row r="835">
      <c r="C835" s="86"/>
      <c r="J835" s="87"/>
      <c r="K835" s="87"/>
    </row>
    <row r="836">
      <c r="C836" s="86"/>
      <c r="J836" s="87"/>
      <c r="K836" s="87"/>
    </row>
    <row r="837">
      <c r="C837" s="86"/>
      <c r="J837" s="87"/>
      <c r="K837" s="87"/>
    </row>
    <row r="838">
      <c r="C838" s="86"/>
      <c r="J838" s="87"/>
      <c r="K838" s="87"/>
    </row>
    <row r="839">
      <c r="C839" s="86"/>
      <c r="J839" s="87"/>
      <c r="K839" s="87"/>
    </row>
    <row r="840">
      <c r="C840" s="86"/>
      <c r="J840" s="87"/>
      <c r="K840" s="87"/>
    </row>
    <row r="841">
      <c r="C841" s="86"/>
      <c r="J841" s="87"/>
      <c r="K841" s="87"/>
    </row>
    <row r="842">
      <c r="C842" s="86"/>
      <c r="J842" s="87"/>
      <c r="K842" s="87"/>
    </row>
    <row r="843">
      <c r="C843" s="86"/>
      <c r="J843" s="87"/>
      <c r="K843" s="87"/>
    </row>
    <row r="844">
      <c r="C844" s="86"/>
      <c r="J844" s="87"/>
      <c r="K844" s="87"/>
    </row>
    <row r="845">
      <c r="C845" s="86"/>
      <c r="J845" s="87"/>
      <c r="K845" s="87"/>
    </row>
    <row r="846">
      <c r="C846" s="86"/>
      <c r="J846" s="87"/>
      <c r="K846" s="87"/>
    </row>
    <row r="847">
      <c r="C847" s="86"/>
      <c r="J847" s="87"/>
      <c r="K847" s="87"/>
    </row>
    <row r="848">
      <c r="C848" s="86"/>
      <c r="J848" s="87"/>
      <c r="K848" s="87"/>
    </row>
    <row r="849">
      <c r="C849" s="86"/>
      <c r="J849" s="87"/>
      <c r="K849" s="87"/>
    </row>
    <row r="850">
      <c r="C850" s="86"/>
      <c r="J850" s="87"/>
      <c r="K850" s="87"/>
    </row>
    <row r="851">
      <c r="C851" s="86"/>
      <c r="J851" s="87"/>
      <c r="K851" s="87"/>
    </row>
    <row r="852">
      <c r="C852" s="86"/>
      <c r="J852" s="87"/>
      <c r="K852" s="87"/>
    </row>
    <row r="853">
      <c r="C853" s="86"/>
      <c r="J853" s="87"/>
      <c r="K853" s="87"/>
    </row>
    <row r="854">
      <c r="C854" s="86"/>
      <c r="J854" s="87"/>
      <c r="K854" s="87"/>
    </row>
    <row r="855">
      <c r="C855" s="86"/>
      <c r="J855" s="87"/>
      <c r="K855" s="87"/>
    </row>
    <row r="856">
      <c r="C856" s="86"/>
      <c r="J856" s="87"/>
      <c r="K856" s="87"/>
    </row>
    <row r="857">
      <c r="C857" s="86"/>
      <c r="J857" s="87"/>
      <c r="K857" s="87"/>
    </row>
    <row r="858">
      <c r="C858" s="86"/>
      <c r="J858" s="87"/>
      <c r="K858" s="87"/>
    </row>
    <row r="859">
      <c r="C859" s="86"/>
      <c r="J859" s="87"/>
      <c r="K859" s="87"/>
    </row>
    <row r="860">
      <c r="C860" s="86"/>
      <c r="J860" s="87"/>
      <c r="K860" s="87"/>
    </row>
    <row r="861">
      <c r="C861" s="86"/>
      <c r="J861" s="87"/>
      <c r="K861" s="87"/>
    </row>
    <row r="862">
      <c r="C862" s="86"/>
      <c r="J862" s="87"/>
      <c r="K862" s="87"/>
    </row>
    <row r="863">
      <c r="C863" s="86"/>
      <c r="J863" s="87"/>
      <c r="K863" s="87"/>
    </row>
    <row r="864">
      <c r="C864" s="86"/>
      <c r="J864" s="87"/>
      <c r="K864" s="87"/>
    </row>
    <row r="865">
      <c r="C865" s="86"/>
      <c r="J865" s="87"/>
      <c r="K865" s="87"/>
    </row>
    <row r="866">
      <c r="C866" s="86"/>
      <c r="J866" s="87"/>
      <c r="K866" s="87"/>
    </row>
    <row r="867">
      <c r="C867" s="86"/>
      <c r="J867" s="87"/>
      <c r="K867" s="87"/>
    </row>
    <row r="868">
      <c r="C868" s="86"/>
      <c r="J868" s="87"/>
      <c r="K868" s="87"/>
    </row>
    <row r="869">
      <c r="C869" s="86"/>
      <c r="J869" s="87"/>
      <c r="K869" s="87"/>
    </row>
    <row r="870">
      <c r="C870" s="86"/>
      <c r="J870" s="87"/>
      <c r="K870" s="87"/>
    </row>
    <row r="871">
      <c r="C871" s="86"/>
      <c r="J871" s="87"/>
      <c r="K871" s="87"/>
    </row>
    <row r="872">
      <c r="C872" s="86"/>
      <c r="J872" s="87"/>
      <c r="K872" s="87"/>
    </row>
    <row r="873">
      <c r="C873" s="86"/>
      <c r="J873" s="87"/>
      <c r="K873" s="87"/>
    </row>
    <row r="874">
      <c r="C874" s="86"/>
      <c r="J874" s="87"/>
      <c r="K874" s="87"/>
    </row>
    <row r="875">
      <c r="C875" s="86"/>
      <c r="J875" s="87"/>
      <c r="K875" s="87"/>
    </row>
    <row r="876">
      <c r="C876" s="86"/>
      <c r="J876" s="87"/>
      <c r="K876" s="87"/>
    </row>
    <row r="877">
      <c r="C877" s="86"/>
      <c r="J877" s="87"/>
      <c r="K877" s="87"/>
    </row>
    <row r="878">
      <c r="C878" s="86"/>
      <c r="J878" s="87"/>
      <c r="K878" s="87"/>
    </row>
    <row r="879">
      <c r="C879" s="86"/>
      <c r="J879" s="87"/>
      <c r="K879" s="87"/>
    </row>
    <row r="880">
      <c r="C880" s="86"/>
      <c r="J880" s="87"/>
      <c r="K880" s="87"/>
    </row>
    <row r="881">
      <c r="C881" s="86"/>
      <c r="J881" s="87"/>
      <c r="K881" s="87"/>
    </row>
    <row r="882">
      <c r="C882" s="86"/>
      <c r="J882" s="87"/>
      <c r="K882" s="87"/>
    </row>
    <row r="883">
      <c r="C883" s="86"/>
      <c r="J883" s="87"/>
      <c r="K883" s="87"/>
    </row>
    <row r="884">
      <c r="C884" s="86"/>
      <c r="J884" s="87"/>
      <c r="K884" s="87"/>
    </row>
    <row r="885">
      <c r="C885" s="86"/>
      <c r="J885" s="87"/>
      <c r="K885" s="87"/>
    </row>
    <row r="886">
      <c r="C886" s="86"/>
      <c r="J886" s="87"/>
      <c r="K886" s="87"/>
    </row>
    <row r="887">
      <c r="C887" s="86"/>
      <c r="J887" s="87"/>
      <c r="K887" s="87"/>
    </row>
    <row r="888">
      <c r="C888" s="86"/>
      <c r="J888" s="87"/>
      <c r="K888" s="87"/>
    </row>
    <row r="889">
      <c r="C889" s="86"/>
      <c r="J889" s="87"/>
      <c r="K889" s="87"/>
    </row>
    <row r="890">
      <c r="C890" s="86"/>
      <c r="J890" s="87"/>
      <c r="K890" s="87"/>
    </row>
    <row r="891">
      <c r="C891" s="86"/>
      <c r="J891" s="87"/>
      <c r="K891" s="87"/>
    </row>
    <row r="892">
      <c r="C892" s="86"/>
      <c r="J892" s="87"/>
      <c r="K892" s="87"/>
    </row>
    <row r="893">
      <c r="C893" s="86"/>
      <c r="J893" s="87"/>
      <c r="K893" s="87"/>
    </row>
    <row r="894">
      <c r="C894" s="86"/>
      <c r="J894" s="87"/>
      <c r="K894" s="87"/>
    </row>
    <row r="895">
      <c r="C895" s="86"/>
      <c r="J895" s="87"/>
      <c r="K895" s="87"/>
    </row>
    <row r="896">
      <c r="C896" s="86"/>
      <c r="J896" s="87"/>
      <c r="K896" s="87"/>
    </row>
    <row r="897">
      <c r="C897" s="86"/>
      <c r="J897" s="87"/>
      <c r="K897" s="87"/>
    </row>
    <row r="898">
      <c r="C898" s="86"/>
      <c r="J898" s="87"/>
      <c r="K898" s="87"/>
    </row>
    <row r="899">
      <c r="C899" s="86"/>
      <c r="J899" s="87"/>
      <c r="K899" s="87"/>
    </row>
    <row r="900">
      <c r="C900" s="86"/>
      <c r="J900" s="87"/>
      <c r="K900" s="87"/>
    </row>
    <row r="901">
      <c r="C901" s="86"/>
      <c r="J901" s="87"/>
      <c r="K901" s="87"/>
    </row>
    <row r="902">
      <c r="C902" s="86"/>
      <c r="J902" s="87"/>
      <c r="K902" s="87"/>
    </row>
    <row r="903">
      <c r="C903" s="86"/>
      <c r="J903" s="87"/>
      <c r="K903" s="87"/>
    </row>
    <row r="904">
      <c r="C904" s="86"/>
      <c r="J904" s="87"/>
      <c r="K904" s="87"/>
    </row>
    <row r="905">
      <c r="C905" s="86"/>
      <c r="J905" s="87"/>
      <c r="K905" s="87"/>
    </row>
    <row r="906">
      <c r="C906" s="86"/>
      <c r="J906" s="87"/>
      <c r="K906" s="87"/>
    </row>
    <row r="907">
      <c r="C907" s="86"/>
      <c r="J907" s="87"/>
      <c r="K907" s="87"/>
    </row>
    <row r="908">
      <c r="C908" s="86"/>
      <c r="J908" s="87"/>
      <c r="K908" s="87"/>
    </row>
    <row r="909">
      <c r="C909" s="86"/>
      <c r="J909" s="87"/>
      <c r="K909" s="87"/>
    </row>
    <row r="910">
      <c r="C910" s="86"/>
      <c r="J910" s="87"/>
      <c r="K910" s="87"/>
    </row>
    <row r="911">
      <c r="C911" s="86"/>
      <c r="J911" s="87"/>
      <c r="K911" s="87"/>
    </row>
    <row r="912">
      <c r="C912" s="86"/>
      <c r="J912" s="87"/>
      <c r="K912" s="87"/>
    </row>
    <row r="913">
      <c r="C913" s="86"/>
      <c r="J913" s="87"/>
      <c r="K913" s="87"/>
    </row>
    <row r="914">
      <c r="C914" s="86"/>
      <c r="J914" s="87"/>
      <c r="K914" s="87"/>
    </row>
    <row r="915">
      <c r="C915" s="86"/>
      <c r="J915" s="87"/>
      <c r="K915" s="87"/>
    </row>
    <row r="916">
      <c r="C916" s="86"/>
      <c r="J916" s="87"/>
      <c r="K916" s="87"/>
    </row>
    <row r="917">
      <c r="C917" s="86"/>
      <c r="J917" s="87"/>
      <c r="K917" s="87"/>
    </row>
    <row r="918">
      <c r="C918" s="86"/>
      <c r="J918" s="87"/>
      <c r="K918" s="87"/>
    </row>
    <row r="919">
      <c r="C919" s="86"/>
      <c r="J919" s="87"/>
      <c r="K919" s="87"/>
    </row>
    <row r="920">
      <c r="C920" s="86"/>
      <c r="J920" s="87"/>
      <c r="K920" s="87"/>
    </row>
    <row r="921">
      <c r="C921" s="86"/>
      <c r="J921" s="87"/>
      <c r="K921" s="87"/>
    </row>
    <row r="922">
      <c r="C922" s="86"/>
      <c r="J922" s="87"/>
      <c r="K922" s="87"/>
    </row>
    <row r="923">
      <c r="C923" s="86"/>
      <c r="J923" s="87"/>
      <c r="K923" s="87"/>
    </row>
    <row r="924">
      <c r="C924" s="86"/>
      <c r="J924" s="87"/>
      <c r="K924" s="87"/>
    </row>
    <row r="925">
      <c r="C925" s="86"/>
      <c r="J925" s="87"/>
      <c r="K925" s="87"/>
    </row>
    <row r="926">
      <c r="C926" s="86"/>
      <c r="J926" s="87"/>
      <c r="K926" s="87"/>
    </row>
    <row r="927">
      <c r="C927" s="86"/>
      <c r="J927" s="87"/>
      <c r="K927" s="87"/>
    </row>
    <row r="928">
      <c r="C928" s="86"/>
      <c r="J928" s="87"/>
      <c r="K928" s="87"/>
    </row>
    <row r="929">
      <c r="C929" s="86"/>
      <c r="J929" s="87"/>
      <c r="K929" s="87"/>
    </row>
    <row r="930">
      <c r="C930" s="86"/>
      <c r="J930" s="87"/>
      <c r="K930" s="87"/>
    </row>
    <row r="931">
      <c r="C931" s="86"/>
      <c r="J931" s="87"/>
      <c r="K931" s="87"/>
    </row>
    <row r="932">
      <c r="C932" s="86"/>
      <c r="J932" s="87"/>
      <c r="K932" s="87"/>
    </row>
    <row r="933">
      <c r="C933" s="86"/>
      <c r="J933" s="87"/>
      <c r="K933" s="87"/>
    </row>
    <row r="934">
      <c r="C934" s="86"/>
      <c r="J934" s="87"/>
      <c r="K934" s="87"/>
    </row>
    <row r="935">
      <c r="C935" s="86"/>
      <c r="J935" s="87"/>
      <c r="K935" s="87"/>
    </row>
    <row r="936">
      <c r="C936" s="86"/>
      <c r="J936" s="87"/>
      <c r="K936" s="87"/>
    </row>
    <row r="937">
      <c r="C937" s="86"/>
      <c r="J937" s="87"/>
      <c r="K937" s="87"/>
    </row>
    <row r="938">
      <c r="C938" s="86"/>
      <c r="J938" s="87"/>
      <c r="K938" s="87"/>
    </row>
    <row r="939">
      <c r="C939" s="86"/>
      <c r="J939" s="87"/>
      <c r="K939" s="87"/>
    </row>
    <row r="940">
      <c r="C940" s="86"/>
      <c r="J940" s="87"/>
      <c r="K940" s="87"/>
    </row>
    <row r="941">
      <c r="C941" s="86"/>
      <c r="J941" s="87"/>
      <c r="K941" s="87"/>
    </row>
    <row r="942">
      <c r="C942" s="86"/>
      <c r="J942" s="87"/>
      <c r="K942" s="87"/>
    </row>
    <row r="943">
      <c r="C943" s="86"/>
      <c r="J943" s="87"/>
      <c r="K943" s="87"/>
    </row>
    <row r="944">
      <c r="C944" s="86"/>
      <c r="J944" s="87"/>
      <c r="K944" s="87"/>
    </row>
    <row r="945">
      <c r="C945" s="86"/>
      <c r="J945" s="87"/>
      <c r="K945" s="87"/>
    </row>
    <row r="946">
      <c r="C946" s="86"/>
      <c r="J946" s="87"/>
      <c r="K946" s="87"/>
    </row>
    <row r="947">
      <c r="C947" s="86"/>
      <c r="J947" s="87"/>
      <c r="K947" s="87"/>
    </row>
    <row r="948">
      <c r="C948" s="86"/>
      <c r="J948" s="87"/>
      <c r="K948" s="87"/>
    </row>
    <row r="949">
      <c r="C949" s="86"/>
      <c r="J949" s="87"/>
      <c r="K949" s="87"/>
    </row>
    <row r="950">
      <c r="C950" s="86"/>
      <c r="J950" s="87"/>
      <c r="K950" s="87"/>
    </row>
    <row r="951">
      <c r="C951" s="86"/>
      <c r="J951" s="87"/>
      <c r="K951" s="87"/>
    </row>
    <row r="952">
      <c r="C952" s="86"/>
      <c r="J952" s="87"/>
      <c r="K952" s="87"/>
    </row>
    <row r="953">
      <c r="C953" s="86"/>
      <c r="J953" s="87"/>
      <c r="K953" s="87"/>
    </row>
    <row r="954">
      <c r="C954" s="86"/>
      <c r="J954" s="87"/>
      <c r="K954" s="87"/>
    </row>
    <row r="955">
      <c r="C955" s="86"/>
      <c r="J955" s="87"/>
      <c r="K955" s="87"/>
    </row>
    <row r="956">
      <c r="C956" s="86"/>
      <c r="J956" s="87"/>
      <c r="K956" s="87"/>
    </row>
    <row r="957">
      <c r="C957" s="86"/>
      <c r="J957" s="87"/>
      <c r="K957" s="87"/>
    </row>
    <row r="958">
      <c r="C958" s="86"/>
      <c r="J958" s="87"/>
      <c r="K958" s="87"/>
    </row>
    <row r="959">
      <c r="C959" s="86"/>
      <c r="J959" s="87"/>
      <c r="K959" s="87"/>
    </row>
    <row r="960">
      <c r="C960" s="86"/>
      <c r="J960" s="87"/>
      <c r="K960" s="87"/>
    </row>
    <row r="961">
      <c r="C961" s="86"/>
      <c r="J961" s="87"/>
      <c r="K961" s="87"/>
    </row>
    <row r="962">
      <c r="C962" s="86"/>
      <c r="J962" s="87"/>
      <c r="K962" s="87"/>
    </row>
    <row r="963">
      <c r="C963" s="86"/>
      <c r="J963" s="87"/>
      <c r="K963" s="87"/>
    </row>
    <row r="964">
      <c r="C964" s="86"/>
      <c r="J964" s="87"/>
      <c r="K964" s="87"/>
    </row>
    <row r="965">
      <c r="C965" s="86"/>
      <c r="J965" s="87"/>
      <c r="K965" s="87"/>
    </row>
    <row r="966">
      <c r="C966" s="86"/>
      <c r="J966" s="87"/>
      <c r="K966" s="87"/>
    </row>
    <row r="967">
      <c r="C967" s="86"/>
      <c r="J967" s="87"/>
      <c r="K967" s="87"/>
    </row>
    <row r="968">
      <c r="C968" s="86"/>
      <c r="J968" s="87"/>
      <c r="K968" s="87"/>
    </row>
    <row r="969">
      <c r="C969" s="86"/>
      <c r="J969" s="87"/>
      <c r="K969" s="87"/>
    </row>
    <row r="970">
      <c r="C970" s="86"/>
      <c r="J970" s="87"/>
      <c r="K970" s="87"/>
    </row>
    <row r="971">
      <c r="C971" s="86"/>
      <c r="J971" s="87"/>
      <c r="K971" s="87"/>
    </row>
    <row r="972">
      <c r="C972" s="86"/>
      <c r="J972" s="87"/>
      <c r="K972" s="87"/>
    </row>
    <row r="973">
      <c r="C973" s="86"/>
      <c r="J973" s="87"/>
      <c r="K973" s="87"/>
    </row>
    <row r="974">
      <c r="C974" s="86"/>
      <c r="J974" s="87"/>
      <c r="K974" s="87"/>
    </row>
    <row r="975">
      <c r="C975" s="86"/>
      <c r="J975" s="87"/>
      <c r="K975" s="87"/>
    </row>
    <row r="976">
      <c r="C976" s="86"/>
      <c r="J976" s="87"/>
      <c r="K976" s="87"/>
    </row>
    <row r="977">
      <c r="C977" s="86"/>
      <c r="J977" s="87"/>
      <c r="K977" s="87"/>
    </row>
    <row r="978">
      <c r="C978" s="86"/>
      <c r="J978" s="87"/>
      <c r="K978" s="87"/>
    </row>
    <row r="979">
      <c r="C979" s="86"/>
      <c r="J979" s="87"/>
      <c r="K979" s="87"/>
    </row>
    <row r="980">
      <c r="C980" s="86"/>
      <c r="J980" s="87"/>
      <c r="K980" s="87"/>
    </row>
    <row r="981">
      <c r="C981" s="86"/>
      <c r="J981" s="87"/>
      <c r="K981" s="87"/>
    </row>
    <row r="982">
      <c r="C982" s="86"/>
      <c r="J982" s="87"/>
      <c r="K982" s="87"/>
    </row>
    <row r="983">
      <c r="C983" s="86"/>
      <c r="J983" s="87"/>
      <c r="K983" s="87"/>
    </row>
    <row r="984">
      <c r="C984" s="86"/>
      <c r="J984" s="87"/>
      <c r="K984" s="87"/>
    </row>
    <row r="985">
      <c r="C985" s="86"/>
      <c r="J985" s="87"/>
      <c r="K985" s="87"/>
    </row>
    <row r="986">
      <c r="C986" s="86"/>
      <c r="J986" s="87"/>
      <c r="K986" s="87"/>
    </row>
    <row r="987">
      <c r="C987" s="86"/>
      <c r="J987" s="87"/>
      <c r="K987" s="87"/>
    </row>
    <row r="988">
      <c r="C988" s="86"/>
      <c r="J988" s="87"/>
      <c r="K988" s="87"/>
    </row>
    <row r="989">
      <c r="C989" s="86"/>
      <c r="J989" s="87"/>
      <c r="K989" s="87"/>
    </row>
    <row r="990">
      <c r="C990" s="86"/>
      <c r="J990" s="87"/>
      <c r="K990" s="87"/>
    </row>
    <row r="991">
      <c r="C991" s="86"/>
      <c r="J991" s="87"/>
      <c r="K991" s="87"/>
    </row>
    <row r="992">
      <c r="C992" s="86"/>
      <c r="J992" s="87"/>
      <c r="K992" s="87"/>
    </row>
    <row r="993">
      <c r="C993" s="86"/>
      <c r="J993" s="87"/>
      <c r="K993" s="87"/>
    </row>
    <row r="994">
      <c r="C994" s="86"/>
      <c r="J994" s="87"/>
      <c r="K994" s="87"/>
    </row>
    <row r="995">
      <c r="C995" s="86"/>
      <c r="J995" s="87"/>
      <c r="K995" s="87"/>
    </row>
    <row r="996">
      <c r="C996" s="86"/>
      <c r="J996" s="87"/>
      <c r="K996" s="87"/>
    </row>
    <row r="997">
      <c r="C997" s="86"/>
      <c r="J997" s="87"/>
      <c r="K997" s="87"/>
    </row>
    <row r="998">
      <c r="C998" s="86"/>
      <c r="J998" s="87"/>
      <c r="K998" s="87"/>
    </row>
    <row r="999">
      <c r="C999" s="86"/>
      <c r="J999" s="87"/>
      <c r="K999" s="87"/>
    </row>
    <row r="1000">
      <c r="C1000" s="86"/>
      <c r="J1000" s="87"/>
      <c r="K1000" s="87"/>
    </row>
  </sheetData>
  <autoFilter ref="$A$1:$L$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1.38"/>
    <col customWidth="1" min="3" max="3" width="13.88"/>
    <col customWidth="1" min="4" max="4" width="22.63"/>
    <col customWidth="1" min="5" max="5" width="12.63"/>
    <col customWidth="1" min="6" max="6" width="22.63"/>
    <col customWidth="1" min="7" max="8" width="18.88"/>
  </cols>
  <sheetData>
    <row r="1">
      <c r="A1" s="79" t="s">
        <v>135</v>
      </c>
      <c r="B1" s="79" t="s">
        <v>136</v>
      </c>
      <c r="C1" s="79" t="s">
        <v>12</v>
      </c>
      <c r="D1" s="79" t="s">
        <v>13</v>
      </c>
      <c r="E1" s="79" t="s">
        <v>14</v>
      </c>
      <c r="F1" s="79" t="s">
        <v>15</v>
      </c>
      <c r="G1" s="82" t="s">
        <v>139</v>
      </c>
      <c r="H1" s="82" t="s">
        <v>140</v>
      </c>
    </row>
    <row r="2">
      <c r="A2" s="80" t="s">
        <v>142</v>
      </c>
      <c r="B2" s="83">
        <v>3.0</v>
      </c>
      <c r="C2" s="80" t="s">
        <v>33</v>
      </c>
      <c r="D2" s="80" t="s">
        <v>34</v>
      </c>
      <c r="E2" s="80" t="s">
        <v>35</v>
      </c>
      <c r="G2" s="85">
        <v>46099.4083687963</v>
      </c>
      <c r="H2" s="85">
        <v>46099.4083687963</v>
      </c>
    </row>
    <row r="3">
      <c r="A3" s="80" t="s">
        <v>145</v>
      </c>
      <c r="B3" s="83">
        <v>6.0</v>
      </c>
      <c r="C3" s="80" t="s">
        <v>44</v>
      </c>
      <c r="D3" s="80" t="s">
        <v>45</v>
      </c>
      <c r="E3" s="80" t="s">
        <v>35</v>
      </c>
      <c r="G3" s="85">
        <v>46099.4083687963</v>
      </c>
      <c r="H3" s="85">
        <v>46099.4083687963</v>
      </c>
    </row>
    <row r="4">
      <c r="A4" s="80" t="s">
        <v>146</v>
      </c>
      <c r="B4" s="83">
        <v>7.0</v>
      </c>
      <c r="D4" s="80" t="s">
        <v>45</v>
      </c>
      <c r="E4" s="80" t="s">
        <v>46</v>
      </c>
      <c r="F4" s="80" t="s">
        <v>47</v>
      </c>
      <c r="G4" s="85">
        <v>46099.4083687963</v>
      </c>
      <c r="H4" s="85">
        <v>46099.4083687963</v>
      </c>
    </row>
    <row r="5">
      <c r="G5" s="87"/>
      <c r="H5" s="87"/>
    </row>
    <row r="6">
      <c r="G6" s="87"/>
      <c r="H6" s="87"/>
    </row>
    <row r="7">
      <c r="G7" s="87"/>
      <c r="H7" s="87"/>
    </row>
    <row r="8">
      <c r="G8" s="87"/>
      <c r="H8" s="87"/>
    </row>
    <row r="9">
      <c r="G9" s="87"/>
      <c r="H9" s="87"/>
    </row>
    <row r="10">
      <c r="G10" s="87"/>
      <c r="H10" s="87"/>
    </row>
    <row r="11">
      <c r="G11" s="87"/>
      <c r="H11" s="87"/>
    </row>
    <row r="12">
      <c r="G12" s="87"/>
      <c r="H12" s="87"/>
    </row>
    <row r="13">
      <c r="G13" s="87"/>
      <c r="H13" s="87"/>
    </row>
    <row r="14">
      <c r="G14" s="87"/>
      <c r="H14" s="87"/>
    </row>
    <row r="15">
      <c r="G15" s="87"/>
      <c r="H15" s="87"/>
    </row>
    <row r="16">
      <c r="G16" s="87"/>
      <c r="H16" s="87"/>
    </row>
    <row r="17">
      <c r="G17" s="87"/>
      <c r="H17" s="87"/>
    </row>
    <row r="18">
      <c r="G18" s="87"/>
      <c r="H18" s="87"/>
    </row>
    <row r="19">
      <c r="G19" s="87"/>
      <c r="H19" s="87"/>
    </row>
    <row r="20">
      <c r="G20" s="87"/>
      <c r="H20" s="87"/>
    </row>
    <row r="21">
      <c r="G21" s="87"/>
      <c r="H21" s="87"/>
    </row>
    <row r="22">
      <c r="G22" s="87"/>
      <c r="H22" s="87"/>
    </row>
    <row r="23">
      <c r="G23" s="87"/>
      <c r="H23" s="87"/>
    </row>
    <row r="24">
      <c r="G24" s="87"/>
      <c r="H24" s="87"/>
    </row>
    <row r="25">
      <c r="G25" s="87"/>
      <c r="H25" s="87"/>
    </row>
    <row r="26">
      <c r="G26" s="87"/>
      <c r="H26" s="87"/>
    </row>
    <row r="27">
      <c r="G27" s="87"/>
      <c r="H27" s="87"/>
    </row>
    <row r="28">
      <c r="G28" s="87"/>
      <c r="H28" s="87"/>
    </row>
    <row r="29">
      <c r="G29" s="87"/>
      <c r="H29" s="87"/>
    </row>
    <row r="30">
      <c r="G30" s="87"/>
      <c r="H30" s="87"/>
    </row>
    <row r="31">
      <c r="G31" s="87"/>
      <c r="H31" s="87"/>
    </row>
    <row r="32">
      <c r="G32" s="87"/>
      <c r="H32" s="87"/>
    </row>
    <row r="33">
      <c r="G33" s="87"/>
      <c r="H33" s="87"/>
    </row>
    <row r="34">
      <c r="G34" s="87"/>
      <c r="H34" s="87"/>
    </row>
    <row r="35">
      <c r="G35" s="87"/>
      <c r="H35" s="87"/>
    </row>
    <row r="36">
      <c r="G36" s="87"/>
      <c r="H36" s="87"/>
    </row>
    <row r="37">
      <c r="G37" s="87"/>
      <c r="H37" s="87"/>
    </row>
    <row r="38">
      <c r="G38" s="87"/>
      <c r="H38" s="87"/>
    </row>
    <row r="39">
      <c r="G39" s="87"/>
      <c r="H39" s="87"/>
    </row>
    <row r="40">
      <c r="G40" s="87"/>
      <c r="H40" s="87"/>
    </row>
    <row r="41">
      <c r="G41" s="87"/>
      <c r="H41" s="87"/>
    </row>
    <row r="42">
      <c r="G42" s="87"/>
      <c r="H42" s="87"/>
    </row>
    <row r="43">
      <c r="G43" s="87"/>
      <c r="H43" s="87"/>
    </row>
    <row r="44">
      <c r="G44" s="87"/>
      <c r="H44" s="87"/>
    </row>
    <row r="45">
      <c r="G45" s="87"/>
      <c r="H45" s="87"/>
    </row>
    <row r="46">
      <c r="G46" s="87"/>
      <c r="H46" s="87"/>
    </row>
    <row r="47">
      <c r="G47" s="87"/>
      <c r="H47" s="87"/>
    </row>
    <row r="48">
      <c r="G48" s="87"/>
      <c r="H48" s="87"/>
    </row>
    <row r="49">
      <c r="G49" s="87"/>
      <c r="H49" s="87"/>
    </row>
    <row r="50">
      <c r="G50" s="87"/>
      <c r="H50" s="87"/>
    </row>
    <row r="51">
      <c r="G51" s="87"/>
      <c r="H51" s="87"/>
    </row>
    <row r="52">
      <c r="G52" s="87"/>
      <c r="H52" s="87"/>
    </row>
    <row r="53">
      <c r="G53" s="87"/>
      <c r="H53" s="87"/>
    </row>
    <row r="54">
      <c r="G54" s="87"/>
      <c r="H54" s="87"/>
    </row>
    <row r="55">
      <c r="G55" s="87"/>
      <c r="H55" s="87"/>
    </row>
    <row r="56">
      <c r="G56" s="87"/>
      <c r="H56" s="87"/>
    </row>
    <row r="57">
      <c r="G57" s="87"/>
      <c r="H57" s="87"/>
    </row>
    <row r="58">
      <c r="G58" s="87"/>
      <c r="H58" s="87"/>
    </row>
    <row r="59">
      <c r="G59" s="87"/>
      <c r="H59" s="87"/>
    </row>
    <row r="60">
      <c r="G60" s="87"/>
      <c r="H60" s="87"/>
    </row>
    <row r="61">
      <c r="G61" s="87"/>
      <c r="H61" s="87"/>
    </row>
    <row r="62">
      <c r="G62" s="87"/>
      <c r="H62" s="87"/>
    </row>
    <row r="63">
      <c r="G63" s="87"/>
      <c r="H63" s="87"/>
    </row>
    <row r="64">
      <c r="G64" s="87"/>
      <c r="H64" s="87"/>
    </row>
    <row r="65">
      <c r="G65" s="87"/>
      <c r="H65" s="87"/>
    </row>
    <row r="66">
      <c r="G66" s="87"/>
      <c r="H66" s="87"/>
    </row>
    <row r="67">
      <c r="G67" s="87"/>
      <c r="H67" s="87"/>
    </row>
    <row r="68">
      <c r="G68" s="87"/>
      <c r="H68" s="87"/>
    </row>
    <row r="69">
      <c r="G69" s="87"/>
      <c r="H69" s="87"/>
    </row>
    <row r="70">
      <c r="G70" s="87"/>
      <c r="H70" s="87"/>
    </row>
    <row r="71">
      <c r="G71" s="87"/>
      <c r="H71" s="87"/>
    </row>
    <row r="72">
      <c r="G72" s="87"/>
      <c r="H72" s="87"/>
    </row>
    <row r="73">
      <c r="G73" s="87"/>
      <c r="H73" s="87"/>
    </row>
    <row r="74">
      <c r="G74" s="87"/>
      <c r="H74" s="87"/>
    </row>
    <row r="75">
      <c r="G75" s="87"/>
      <c r="H75" s="87"/>
    </row>
    <row r="76">
      <c r="G76" s="87"/>
      <c r="H76" s="87"/>
    </row>
    <row r="77">
      <c r="G77" s="87"/>
      <c r="H77" s="87"/>
    </row>
    <row r="78">
      <c r="G78" s="87"/>
      <c r="H78" s="87"/>
    </row>
    <row r="79">
      <c r="G79" s="87"/>
      <c r="H79" s="87"/>
    </row>
    <row r="80">
      <c r="G80" s="87"/>
      <c r="H80" s="87"/>
    </row>
    <row r="81">
      <c r="G81" s="87"/>
      <c r="H81" s="87"/>
    </row>
    <row r="82">
      <c r="G82" s="87"/>
      <c r="H82" s="87"/>
    </row>
    <row r="83">
      <c r="G83" s="87"/>
      <c r="H83" s="87"/>
    </row>
    <row r="84">
      <c r="G84" s="87"/>
      <c r="H84" s="87"/>
    </row>
    <row r="85">
      <c r="G85" s="87"/>
      <c r="H85" s="87"/>
    </row>
    <row r="86">
      <c r="G86" s="87"/>
      <c r="H86" s="87"/>
    </row>
    <row r="87">
      <c r="G87" s="87"/>
      <c r="H87" s="87"/>
    </row>
    <row r="88">
      <c r="G88" s="87"/>
      <c r="H88" s="87"/>
    </row>
    <row r="89">
      <c r="G89" s="87"/>
      <c r="H89" s="87"/>
    </row>
    <row r="90">
      <c r="G90" s="87"/>
      <c r="H90" s="87"/>
    </row>
    <row r="91">
      <c r="G91" s="87"/>
      <c r="H91" s="87"/>
    </row>
    <row r="92">
      <c r="G92" s="87"/>
      <c r="H92" s="87"/>
    </row>
    <row r="93">
      <c r="G93" s="87"/>
      <c r="H93" s="87"/>
    </row>
    <row r="94">
      <c r="G94" s="87"/>
      <c r="H94" s="87"/>
    </row>
    <row r="95">
      <c r="G95" s="87"/>
      <c r="H95" s="87"/>
    </row>
    <row r="96">
      <c r="G96" s="87"/>
      <c r="H96" s="87"/>
    </row>
    <row r="97">
      <c r="G97" s="87"/>
      <c r="H97" s="87"/>
    </row>
    <row r="98">
      <c r="G98" s="87"/>
      <c r="H98" s="87"/>
    </row>
    <row r="99">
      <c r="G99" s="87"/>
      <c r="H99" s="87"/>
    </row>
    <row r="100">
      <c r="G100" s="87"/>
      <c r="H100" s="87"/>
    </row>
    <row r="101">
      <c r="G101" s="87"/>
      <c r="H101" s="87"/>
    </row>
    <row r="102">
      <c r="G102" s="87"/>
      <c r="H102" s="87"/>
    </row>
    <row r="103">
      <c r="G103" s="87"/>
      <c r="H103" s="87"/>
    </row>
    <row r="104">
      <c r="G104" s="87"/>
      <c r="H104" s="87"/>
    </row>
    <row r="105">
      <c r="G105" s="87"/>
      <c r="H105" s="87"/>
    </row>
    <row r="106">
      <c r="G106" s="87"/>
      <c r="H106" s="87"/>
    </row>
    <row r="107">
      <c r="G107" s="87"/>
      <c r="H107" s="87"/>
    </row>
    <row r="108">
      <c r="G108" s="87"/>
      <c r="H108" s="87"/>
    </row>
    <row r="109">
      <c r="G109" s="87"/>
      <c r="H109" s="87"/>
    </row>
    <row r="110">
      <c r="G110" s="87"/>
      <c r="H110" s="87"/>
    </row>
    <row r="111">
      <c r="G111" s="87"/>
      <c r="H111" s="87"/>
    </row>
    <row r="112">
      <c r="G112" s="87"/>
      <c r="H112" s="87"/>
    </row>
    <row r="113">
      <c r="G113" s="87"/>
      <c r="H113" s="87"/>
    </row>
    <row r="114">
      <c r="G114" s="87"/>
      <c r="H114" s="87"/>
    </row>
    <row r="115">
      <c r="G115" s="87"/>
      <c r="H115" s="87"/>
    </row>
    <row r="116">
      <c r="G116" s="87"/>
      <c r="H116" s="87"/>
    </row>
    <row r="117">
      <c r="G117" s="87"/>
      <c r="H117" s="87"/>
    </row>
    <row r="118">
      <c r="G118" s="87"/>
      <c r="H118" s="87"/>
    </row>
    <row r="119">
      <c r="G119" s="87"/>
      <c r="H119" s="87"/>
    </row>
    <row r="120">
      <c r="G120" s="87"/>
      <c r="H120" s="87"/>
    </row>
    <row r="121">
      <c r="G121" s="87"/>
      <c r="H121" s="87"/>
    </row>
    <row r="122">
      <c r="G122" s="87"/>
      <c r="H122" s="87"/>
    </row>
    <row r="123">
      <c r="G123" s="87"/>
      <c r="H123" s="87"/>
    </row>
    <row r="124">
      <c r="G124" s="87"/>
      <c r="H124" s="87"/>
    </row>
    <row r="125">
      <c r="G125" s="87"/>
      <c r="H125" s="87"/>
    </row>
    <row r="126">
      <c r="G126" s="87"/>
      <c r="H126" s="87"/>
    </row>
    <row r="127">
      <c r="G127" s="87"/>
      <c r="H127" s="87"/>
    </row>
    <row r="128">
      <c r="G128" s="87"/>
      <c r="H128" s="87"/>
    </row>
    <row r="129">
      <c r="G129" s="87"/>
      <c r="H129" s="87"/>
    </row>
    <row r="130">
      <c r="G130" s="87"/>
      <c r="H130" s="87"/>
    </row>
    <row r="131">
      <c r="G131" s="87"/>
      <c r="H131" s="87"/>
    </row>
    <row r="132">
      <c r="G132" s="87"/>
      <c r="H132" s="87"/>
    </row>
    <row r="133">
      <c r="G133" s="87"/>
      <c r="H133" s="87"/>
    </row>
    <row r="134">
      <c r="G134" s="87"/>
      <c r="H134" s="87"/>
    </row>
    <row r="135">
      <c r="G135" s="87"/>
      <c r="H135" s="87"/>
    </row>
    <row r="136">
      <c r="G136" s="87"/>
      <c r="H136" s="87"/>
    </row>
    <row r="137">
      <c r="G137" s="87"/>
      <c r="H137" s="87"/>
    </row>
    <row r="138">
      <c r="G138" s="87"/>
      <c r="H138" s="87"/>
    </row>
    <row r="139">
      <c r="G139" s="87"/>
      <c r="H139" s="87"/>
    </row>
    <row r="140">
      <c r="G140" s="87"/>
      <c r="H140" s="87"/>
    </row>
    <row r="141">
      <c r="G141" s="87"/>
      <c r="H141" s="87"/>
    </row>
    <row r="142">
      <c r="G142" s="87"/>
      <c r="H142" s="87"/>
    </row>
    <row r="143">
      <c r="G143" s="87"/>
      <c r="H143" s="87"/>
    </row>
    <row r="144">
      <c r="G144" s="87"/>
      <c r="H144" s="87"/>
    </row>
    <row r="145">
      <c r="G145" s="87"/>
      <c r="H145" s="87"/>
    </row>
    <row r="146">
      <c r="G146" s="87"/>
      <c r="H146" s="87"/>
    </row>
    <row r="147">
      <c r="G147" s="87"/>
      <c r="H147" s="87"/>
    </row>
    <row r="148">
      <c r="G148" s="87"/>
      <c r="H148" s="87"/>
    </row>
    <row r="149">
      <c r="G149" s="87"/>
      <c r="H149" s="87"/>
    </row>
    <row r="150">
      <c r="G150" s="87"/>
      <c r="H150" s="87"/>
    </row>
    <row r="151">
      <c r="G151" s="87"/>
      <c r="H151" s="87"/>
    </row>
    <row r="152">
      <c r="G152" s="87"/>
      <c r="H152" s="87"/>
    </row>
    <row r="153">
      <c r="G153" s="87"/>
      <c r="H153" s="87"/>
    </row>
    <row r="154">
      <c r="G154" s="87"/>
      <c r="H154" s="87"/>
    </row>
    <row r="155">
      <c r="G155" s="87"/>
      <c r="H155" s="87"/>
    </row>
    <row r="156">
      <c r="G156" s="87"/>
      <c r="H156" s="87"/>
    </row>
    <row r="157">
      <c r="G157" s="87"/>
      <c r="H157" s="87"/>
    </row>
    <row r="158">
      <c r="G158" s="87"/>
      <c r="H158" s="87"/>
    </row>
    <row r="159">
      <c r="G159" s="87"/>
      <c r="H159" s="87"/>
    </row>
    <row r="160">
      <c r="G160" s="87"/>
      <c r="H160" s="87"/>
    </row>
    <row r="161">
      <c r="G161" s="87"/>
      <c r="H161" s="87"/>
    </row>
    <row r="162">
      <c r="G162" s="87"/>
      <c r="H162" s="87"/>
    </row>
    <row r="163">
      <c r="G163" s="87"/>
      <c r="H163" s="87"/>
    </row>
    <row r="164">
      <c r="G164" s="87"/>
      <c r="H164" s="87"/>
    </row>
    <row r="165">
      <c r="G165" s="87"/>
      <c r="H165" s="87"/>
    </row>
    <row r="166">
      <c r="G166" s="87"/>
      <c r="H166" s="87"/>
    </row>
    <row r="167">
      <c r="G167" s="87"/>
      <c r="H167" s="87"/>
    </row>
    <row r="168">
      <c r="G168" s="87"/>
      <c r="H168" s="87"/>
    </row>
    <row r="169">
      <c r="G169" s="87"/>
      <c r="H169" s="87"/>
    </row>
    <row r="170">
      <c r="G170" s="87"/>
      <c r="H170" s="87"/>
    </row>
    <row r="171">
      <c r="G171" s="87"/>
      <c r="H171" s="87"/>
    </row>
    <row r="172">
      <c r="G172" s="87"/>
      <c r="H172" s="87"/>
    </row>
    <row r="173">
      <c r="G173" s="87"/>
      <c r="H173" s="87"/>
    </row>
    <row r="174">
      <c r="G174" s="87"/>
      <c r="H174" s="87"/>
    </row>
    <row r="175">
      <c r="G175" s="87"/>
      <c r="H175" s="87"/>
    </row>
    <row r="176">
      <c r="G176" s="87"/>
      <c r="H176" s="87"/>
    </row>
    <row r="177">
      <c r="G177" s="87"/>
      <c r="H177" s="87"/>
    </row>
    <row r="178">
      <c r="G178" s="87"/>
      <c r="H178" s="87"/>
    </row>
    <row r="179">
      <c r="G179" s="87"/>
      <c r="H179" s="87"/>
    </row>
    <row r="180">
      <c r="G180" s="87"/>
      <c r="H180" s="87"/>
    </row>
    <row r="181">
      <c r="G181" s="87"/>
      <c r="H181" s="87"/>
    </row>
    <row r="182">
      <c r="G182" s="87"/>
      <c r="H182" s="87"/>
    </row>
    <row r="183">
      <c r="G183" s="87"/>
      <c r="H183" s="87"/>
    </row>
    <row r="184">
      <c r="G184" s="87"/>
      <c r="H184" s="87"/>
    </row>
    <row r="185">
      <c r="G185" s="87"/>
      <c r="H185" s="87"/>
    </row>
    <row r="186">
      <c r="G186" s="87"/>
      <c r="H186" s="87"/>
    </row>
    <row r="187">
      <c r="G187" s="87"/>
      <c r="H187" s="87"/>
    </row>
    <row r="188">
      <c r="G188" s="87"/>
      <c r="H188" s="87"/>
    </row>
    <row r="189">
      <c r="G189" s="87"/>
      <c r="H189" s="87"/>
    </row>
    <row r="190">
      <c r="G190" s="87"/>
      <c r="H190" s="87"/>
    </row>
    <row r="191">
      <c r="G191" s="87"/>
      <c r="H191" s="87"/>
    </row>
    <row r="192">
      <c r="G192" s="87"/>
      <c r="H192" s="87"/>
    </row>
    <row r="193">
      <c r="G193" s="87"/>
      <c r="H193" s="87"/>
    </row>
    <row r="194">
      <c r="G194" s="87"/>
      <c r="H194" s="87"/>
    </row>
    <row r="195">
      <c r="G195" s="87"/>
      <c r="H195" s="87"/>
    </row>
    <row r="196">
      <c r="G196" s="87"/>
      <c r="H196" s="87"/>
    </row>
    <row r="197">
      <c r="G197" s="87"/>
      <c r="H197" s="87"/>
    </row>
    <row r="198">
      <c r="G198" s="87"/>
      <c r="H198" s="87"/>
    </row>
    <row r="199">
      <c r="G199" s="87"/>
      <c r="H199" s="87"/>
    </row>
    <row r="200">
      <c r="G200" s="87"/>
      <c r="H200" s="87"/>
    </row>
    <row r="201">
      <c r="G201" s="87"/>
      <c r="H201" s="87"/>
    </row>
    <row r="202">
      <c r="G202" s="87"/>
      <c r="H202" s="87"/>
    </row>
    <row r="203">
      <c r="G203" s="87"/>
      <c r="H203" s="87"/>
    </row>
    <row r="204">
      <c r="G204" s="87"/>
      <c r="H204" s="87"/>
    </row>
    <row r="205">
      <c r="G205" s="87"/>
      <c r="H205" s="87"/>
    </row>
    <row r="206">
      <c r="G206" s="87"/>
      <c r="H206" s="87"/>
    </row>
    <row r="207">
      <c r="G207" s="87"/>
      <c r="H207" s="87"/>
    </row>
    <row r="208">
      <c r="G208" s="87"/>
      <c r="H208" s="87"/>
    </row>
    <row r="209">
      <c r="G209" s="87"/>
      <c r="H209" s="87"/>
    </row>
    <row r="210">
      <c r="G210" s="87"/>
      <c r="H210" s="87"/>
    </row>
    <row r="211">
      <c r="G211" s="87"/>
      <c r="H211" s="87"/>
    </row>
    <row r="212">
      <c r="G212" s="87"/>
      <c r="H212" s="87"/>
    </row>
    <row r="213">
      <c r="G213" s="87"/>
      <c r="H213" s="87"/>
    </row>
    <row r="214">
      <c r="G214" s="87"/>
      <c r="H214" s="87"/>
    </row>
    <row r="215">
      <c r="G215" s="87"/>
      <c r="H215" s="87"/>
    </row>
    <row r="216">
      <c r="G216" s="87"/>
      <c r="H216" s="87"/>
    </row>
    <row r="217">
      <c r="G217" s="87"/>
      <c r="H217" s="87"/>
    </row>
    <row r="218">
      <c r="G218" s="87"/>
      <c r="H218" s="87"/>
    </row>
    <row r="219">
      <c r="G219" s="87"/>
      <c r="H219" s="87"/>
    </row>
    <row r="220">
      <c r="G220" s="87"/>
      <c r="H220" s="87"/>
    </row>
    <row r="221">
      <c r="G221" s="87"/>
      <c r="H221" s="87"/>
    </row>
    <row r="222">
      <c r="G222" s="87"/>
      <c r="H222" s="87"/>
    </row>
    <row r="223">
      <c r="G223" s="87"/>
      <c r="H223" s="87"/>
    </row>
    <row r="224">
      <c r="G224" s="87"/>
      <c r="H224" s="87"/>
    </row>
    <row r="225">
      <c r="G225" s="87"/>
      <c r="H225" s="87"/>
    </row>
    <row r="226">
      <c r="G226" s="87"/>
      <c r="H226" s="87"/>
    </row>
    <row r="227">
      <c r="G227" s="87"/>
      <c r="H227" s="87"/>
    </row>
    <row r="228">
      <c r="G228" s="87"/>
      <c r="H228" s="87"/>
    </row>
    <row r="229">
      <c r="G229" s="87"/>
      <c r="H229" s="87"/>
    </row>
    <row r="230">
      <c r="G230" s="87"/>
      <c r="H230" s="87"/>
    </row>
    <row r="231">
      <c r="G231" s="87"/>
      <c r="H231" s="87"/>
    </row>
    <row r="232">
      <c r="G232" s="87"/>
      <c r="H232" s="87"/>
    </row>
    <row r="233">
      <c r="G233" s="87"/>
      <c r="H233" s="87"/>
    </row>
    <row r="234">
      <c r="G234" s="87"/>
      <c r="H234" s="87"/>
    </row>
    <row r="235">
      <c r="G235" s="87"/>
      <c r="H235" s="87"/>
    </row>
    <row r="236">
      <c r="G236" s="87"/>
      <c r="H236" s="87"/>
    </row>
    <row r="237">
      <c r="G237" s="87"/>
      <c r="H237" s="87"/>
    </row>
    <row r="238">
      <c r="G238" s="87"/>
      <c r="H238" s="87"/>
    </row>
    <row r="239">
      <c r="G239" s="87"/>
      <c r="H239" s="87"/>
    </row>
    <row r="240">
      <c r="G240" s="87"/>
      <c r="H240" s="87"/>
    </row>
    <row r="241">
      <c r="G241" s="87"/>
      <c r="H241" s="87"/>
    </row>
    <row r="242">
      <c r="G242" s="87"/>
      <c r="H242" s="87"/>
    </row>
    <row r="243">
      <c r="G243" s="87"/>
      <c r="H243" s="87"/>
    </row>
    <row r="244">
      <c r="G244" s="87"/>
      <c r="H244" s="87"/>
    </row>
    <row r="245">
      <c r="G245" s="87"/>
      <c r="H245" s="87"/>
    </row>
    <row r="246">
      <c r="G246" s="87"/>
      <c r="H246" s="87"/>
    </row>
    <row r="247">
      <c r="G247" s="87"/>
      <c r="H247" s="87"/>
    </row>
    <row r="248">
      <c r="G248" s="87"/>
      <c r="H248" s="87"/>
    </row>
    <row r="249">
      <c r="G249" s="87"/>
      <c r="H249" s="87"/>
    </row>
    <row r="250">
      <c r="G250" s="87"/>
      <c r="H250" s="87"/>
    </row>
    <row r="251">
      <c r="G251" s="87"/>
      <c r="H251" s="87"/>
    </row>
    <row r="252">
      <c r="G252" s="87"/>
      <c r="H252" s="87"/>
    </row>
    <row r="253">
      <c r="G253" s="87"/>
      <c r="H253" s="87"/>
    </row>
    <row r="254">
      <c r="G254" s="87"/>
      <c r="H254" s="87"/>
    </row>
    <row r="255">
      <c r="G255" s="87"/>
      <c r="H255" s="87"/>
    </row>
    <row r="256">
      <c r="G256" s="87"/>
      <c r="H256" s="87"/>
    </row>
    <row r="257">
      <c r="G257" s="87"/>
      <c r="H257" s="87"/>
    </row>
    <row r="258">
      <c r="G258" s="87"/>
      <c r="H258" s="87"/>
    </row>
    <row r="259">
      <c r="G259" s="87"/>
      <c r="H259" s="87"/>
    </row>
    <row r="260">
      <c r="G260" s="87"/>
      <c r="H260" s="87"/>
    </row>
    <row r="261">
      <c r="G261" s="87"/>
      <c r="H261" s="87"/>
    </row>
    <row r="262">
      <c r="G262" s="87"/>
      <c r="H262" s="87"/>
    </row>
    <row r="263">
      <c r="G263" s="87"/>
      <c r="H263" s="87"/>
    </row>
    <row r="264">
      <c r="G264" s="87"/>
      <c r="H264" s="87"/>
    </row>
    <row r="265">
      <c r="G265" s="87"/>
      <c r="H265" s="87"/>
    </row>
    <row r="266">
      <c r="G266" s="87"/>
      <c r="H266" s="87"/>
    </row>
    <row r="267">
      <c r="G267" s="87"/>
      <c r="H267" s="87"/>
    </row>
    <row r="268">
      <c r="G268" s="87"/>
      <c r="H268" s="87"/>
    </row>
    <row r="269">
      <c r="G269" s="87"/>
      <c r="H269" s="87"/>
    </row>
    <row r="270">
      <c r="G270" s="87"/>
      <c r="H270" s="87"/>
    </row>
    <row r="271">
      <c r="G271" s="87"/>
      <c r="H271" s="87"/>
    </row>
    <row r="272">
      <c r="G272" s="87"/>
      <c r="H272" s="87"/>
    </row>
    <row r="273">
      <c r="G273" s="87"/>
      <c r="H273" s="87"/>
    </row>
    <row r="274">
      <c r="G274" s="87"/>
      <c r="H274" s="87"/>
    </row>
    <row r="275">
      <c r="G275" s="87"/>
      <c r="H275" s="87"/>
    </row>
    <row r="276">
      <c r="G276" s="87"/>
      <c r="H276" s="87"/>
    </row>
    <row r="277">
      <c r="G277" s="87"/>
      <c r="H277" s="87"/>
    </row>
    <row r="278">
      <c r="G278" s="87"/>
      <c r="H278" s="87"/>
    </row>
    <row r="279">
      <c r="G279" s="87"/>
      <c r="H279" s="87"/>
    </row>
    <row r="280">
      <c r="G280" s="87"/>
      <c r="H280" s="87"/>
    </row>
    <row r="281">
      <c r="G281" s="87"/>
      <c r="H281" s="87"/>
    </row>
    <row r="282">
      <c r="G282" s="87"/>
      <c r="H282" s="87"/>
    </row>
    <row r="283">
      <c r="G283" s="87"/>
      <c r="H283" s="87"/>
    </row>
    <row r="284">
      <c r="G284" s="87"/>
      <c r="H284" s="87"/>
    </row>
    <row r="285">
      <c r="G285" s="87"/>
      <c r="H285" s="87"/>
    </row>
    <row r="286">
      <c r="G286" s="87"/>
      <c r="H286" s="87"/>
    </row>
    <row r="287">
      <c r="G287" s="87"/>
      <c r="H287" s="87"/>
    </row>
    <row r="288">
      <c r="G288" s="87"/>
      <c r="H288" s="87"/>
    </row>
    <row r="289">
      <c r="G289" s="87"/>
      <c r="H289" s="87"/>
    </row>
    <row r="290">
      <c r="G290" s="87"/>
      <c r="H290" s="87"/>
    </row>
    <row r="291">
      <c r="G291" s="87"/>
      <c r="H291" s="87"/>
    </row>
    <row r="292">
      <c r="G292" s="87"/>
      <c r="H292" s="87"/>
    </row>
    <row r="293">
      <c r="G293" s="87"/>
      <c r="H293" s="87"/>
    </row>
    <row r="294">
      <c r="G294" s="87"/>
      <c r="H294" s="87"/>
    </row>
    <row r="295">
      <c r="G295" s="87"/>
      <c r="H295" s="87"/>
    </row>
    <row r="296">
      <c r="G296" s="87"/>
      <c r="H296" s="87"/>
    </row>
    <row r="297">
      <c r="G297" s="87"/>
      <c r="H297" s="87"/>
    </row>
    <row r="298">
      <c r="G298" s="87"/>
      <c r="H298" s="87"/>
    </row>
    <row r="299">
      <c r="G299" s="87"/>
      <c r="H299" s="87"/>
    </row>
    <row r="300">
      <c r="G300" s="87"/>
      <c r="H300" s="87"/>
    </row>
    <row r="301">
      <c r="G301" s="87"/>
      <c r="H301" s="87"/>
    </row>
    <row r="302">
      <c r="G302" s="87"/>
      <c r="H302" s="87"/>
    </row>
    <row r="303">
      <c r="G303" s="87"/>
      <c r="H303" s="87"/>
    </row>
    <row r="304">
      <c r="G304" s="87"/>
      <c r="H304" s="87"/>
    </row>
    <row r="305">
      <c r="G305" s="87"/>
      <c r="H305" s="87"/>
    </row>
    <row r="306">
      <c r="G306" s="87"/>
      <c r="H306" s="87"/>
    </row>
    <row r="307">
      <c r="G307" s="87"/>
      <c r="H307" s="87"/>
    </row>
    <row r="308">
      <c r="G308" s="87"/>
      <c r="H308" s="87"/>
    </row>
    <row r="309">
      <c r="G309" s="87"/>
      <c r="H309" s="87"/>
    </row>
    <row r="310">
      <c r="G310" s="87"/>
      <c r="H310" s="87"/>
    </row>
    <row r="311">
      <c r="G311" s="87"/>
      <c r="H311" s="87"/>
    </row>
    <row r="312">
      <c r="G312" s="87"/>
      <c r="H312" s="87"/>
    </row>
    <row r="313">
      <c r="G313" s="87"/>
      <c r="H313" s="87"/>
    </row>
    <row r="314">
      <c r="G314" s="87"/>
      <c r="H314" s="87"/>
    </row>
    <row r="315">
      <c r="G315" s="87"/>
      <c r="H315" s="87"/>
    </row>
    <row r="316">
      <c r="G316" s="87"/>
      <c r="H316" s="87"/>
    </row>
    <row r="317">
      <c r="G317" s="87"/>
      <c r="H317" s="87"/>
    </row>
    <row r="318">
      <c r="G318" s="87"/>
      <c r="H318" s="87"/>
    </row>
    <row r="319">
      <c r="G319" s="87"/>
      <c r="H319" s="87"/>
    </row>
    <row r="320">
      <c r="G320" s="87"/>
      <c r="H320" s="87"/>
    </row>
    <row r="321">
      <c r="G321" s="87"/>
      <c r="H321" s="87"/>
    </row>
    <row r="322">
      <c r="G322" s="87"/>
      <c r="H322" s="87"/>
    </row>
    <row r="323">
      <c r="G323" s="87"/>
      <c r="H323" s="87"/>
    </row>
    <row r="324">
      <c r="G324" s="87"/>
      <c r="H324" s="87"/>
    </row>
    <row r="325">
      <c r="G325" s="87"/>
      <c r="H325" s="87"/>
    </row>
    <row r="326">
      <c r="G326" s="87"/>
      <c r="H326" s="87"/>
    </row>
    <row r="327">
      <c r="G327" s="87"/>
      <c r="H327" s="87"/>
    </row>
    <row r="328">
      <c r="G328" s="87"/>
      <c r="H328" s="87"/>
    </row>
    <row r="329">
      <c r="G329" s="87"/>
      <c r="H329" s="87"/>
    </row>
    <row r="330">
      <c r="G330" s="87"/>
      <c r="H330" s="87"/>
    </row>
    <row r="331">
      <c r="G331" s="87"/>
      <c r="H331" s="87"/>
    </row>
    <row r="332">
      <c r="G332" s="87"/>
      <c r="H332" s="87"/>
    </row>
    <row r="333">
      <c r="G333" s="87"/>
      <c r="H333" s="87"/>
    </row>
    <row r="334">
      <c r="G334" s="87"/>
      <c r="H334" s="87"/>
    </row>
    <row r="335">
      <c r="G335" s="87"/>
      <c r="H335" s="87"/>
    </row>
    <row r="336">
      <c r="G336" s="87"/>
      <c r="H336" s="87"/>
    </row>
    <row r="337">
      <c r="G337" s="87"/>
      <c r="H337" s="87"/>
    </row>
    <row r="338">
      <c r="G338" s="87"/>
      <c r="H338" s="87"/>
    </row>
    <row r="339">
      <c r="G339" s="87"/>
      <c r="H339" s="87"/>
    </row>
    <row r="340">
      <c r="G340" s="87"/>
      <c r="H340" s="87"/>
    </row>
    <row r="341">
      <c r="G341" s="87"/>
      <c r="H341" s="87"/>
    </row>
    <row r="342">
      <c r="G342" s="87"/>
      <c r="H342" s="87"/>
    </row>
    <row r="343">
      <c r="G343" s="87"/>
      <c r="H343" s="87"/>
    </row>
    <row r="344">
      <c r="G344" s="87"/>
      <c r="H344" s="87"/>
    </row>
    <row r="345">
      <c r="G345" s="87"/>
      <c r="H345" s="87"/>
    </row>
    <row r="346">
      <c r="G346" s="87"/>
      <c r="H346" s="87"/>
    </row>
    <row r="347">
      <c r="G347" s="87"/>
      <c r="H347" s="87"/>
    </row>
    <row r="348">
      <c r="G348" s="87"/>
      <c r="H348" s="87"/>
    </row>
    <row r="349">
      <c r="G349" s="87"/>
      <c r="H349" s="87"/>
    </row>
    <row r="350">
      <c r="G350" s="87"/>
      <c r="H350" s="87"/>
    </row>
    <row r="351">
      <c r="G351" s="87"/>
      <c r="H351" s="87"/>
    </row>
    <row r="352">
      <c r="G352" s="87"/>
      <c r="H352" s="87"/>
    </row>
    <row r="353">
      <c r="G353" s="87"/>
      <c r="H353" s="87"/>
    </row>
    <row r="354">
      <c r="G354" s="87"/>
      <c r="H354" s="87"/>
    </row>
    <row r="355">
      <c r="G355" s="87"/>
      <c r="H355" s="87"/>
    </row>
    <row r="356">
      <c r="G356" s="87"/>
      <c r="H356" s="87"/>
    </row>
    <row r="357">
      <c r="G357" s="87"/>
      <c r="H357" s="87"/>
    </row>
    <row r="358">
      <c r="G358" s="87"/>
      <c r="H358" s="87"/>
    </row>
    <row r="359">
      <c r="G359" s="87"/>
      <c r="H359" s="87"/>
    </row>
    <row r="360">
      <c r="G360" s="87"/>
      <c r="H360" s="87"/>
    </row>
    <row r="361">
      <c r="G361" s="87"/>
      <c r="H361" s="87"/>
    </row>
    <row r="362">
      <c r="G362" s="87"/>
      <c r="H362" s="87"/>
    </row>
    <row r="363">
      <c r="G363" s="87"/>
      <c r="H363" s="87"/>
    </row>
    <row r="364">
      <c r="G364" s="87"/>
      <c r="H364" s="87"/>
    </row>
    <row r="365">
      <c r="G365" s="87"/>
      <c r="H365" s="87"/>
    </row>
    <row r="366">
      <c r="G366" s="87"/>
      <c r="H366" s="87"/>
    </row>
    <row r="367">
      <c r="G367" s="87"/>
      <c r="H367" s="87"/>
    </row>
    <row r="368">
      <c r="G368" s="87"/>
      <c r="H368" s="87"/>
    </row>
    <row r="369">
      <c r="G369" s="87"/>
      <c r="H369" s="87"/>
    </row>
    <row r="370">
      <c r="G370" s="87"/>
      <c r="H370" s="87"/>
    </row>
    <row r="371">
      <c r="G371" s="87"/>
      <c r="H371" s="87"/>
    </row>
    <row r="372">
      <c r="G372" s="87"/>
      <c r="H372" s="87"/>
    </row>
    <row r="373">
      <c r="G373" s="87"/>
      <c r="H373" s="87"/>
    </row>
    <row r="374">
      <c r="G374" s="87"/>
      <c r="H374" s="87"/>
    </row>
    <row r="375">
      <c r="G375" s="87"/>
      <c r="H375" s="87"/>
    </row>
    <row r="376">
      <c r="G376" s="87"/>
      <c r="H376" s="87"/>
    </row>
    <row r="377">
      <c r="G377" s="87"/>
      <c r="H377" s="87"/>
    </row>
    <row r="378">
      <c r="G378" s="87"/>
      <c r="H378" s="87"/>
    </row>
    <row r="379">
      <c r="G379" s="87"/>
      <c r="H379" s="87"/>
    </row>
    <row r="380">
      <c r="G380" s="87"/>
      <c r="H380" s="87"/>
    </row>
    <row r="381">
      <c r="G381" s="87"/>
      <c r="H381" s="87"/>
    </row>
    <row r="382">
      <c r="G382" s="87"/>
      <c r="H382" s="87"/>
    </row>
    <row r="383">
      <c r="G383" s="87"/>
      <c r="H383" s="87"/>
    </row>
    <row r="384">
      <c r="G384" s="87"/>
      <c r="H384" s="87"/>
    </row>
    <row r="385">
      <c r="G385" s="87"/>
      <c r="H385" s="87"/>
    </row>
    <row r="386">
      <c r="G386" s="87"/>
      <c r="H386" s="87"/>
    </row>
    <row r="387">
      <c r="G387" s="87"/>
      <c r="H387" s="87"/>
    </row>
    <row r="388">
      <c r="G388" s="87"/>
      <c r="H388" s="87"/>
    </row>
    <row r="389">
      <c r="G389" s="87"/>
      <c r="H389" s="87"/>
    </row>
    <row r="390">
      <c r="G390" s="87"/>
      <c r="H390" s="87"/>
    </row>
    <row r="391">
      <c r="G391" s="87"/>
      <c r="H391" s="87"/>
    </row>
    <row r="392">
      <c r="G392" s="87"/>
      <c r="H392" s="87"/>
    </row>
    <row r="393">
      <c r="G393" s="87"/>
      <c r="H393" s="87"/>
    </row>
    <row r="394">
      <c r="G394" s="87"/>
      <c r="H394" s="87"/>
    </row>
    <row r="395">
      <c r="G395" s="87"/>
      <c r="H395" s="87"/>
    </row>
    <row r="396">
      <c r="G396" s="87"/>
      <c r="H396" s="87"/>
    </row>
    <row r="397">
      <c r="G397" s="87"/>
      <c r="H397" s="87"/>
    </row>
    <row r="398">
      <c r="G398" s="87"/>
      <c r="H398" s="87"/>
    </row>
    <row r="399">
      <c r="G399" s="87"/>
      <c r="H399" s="87"/>
    </row>
    <row r="400">
      <c r="G400" s="87"/>
      <c r="H400" s="87"/>
    </row>
    <row r="401">
      <c r="G401" s="87"/>
      <c r="H401" s="87"/>
    </row>
    <row r="402">
      <c r="G402" s="87"/>
      <c r="H402" s="87"/>
    </row>
    <row r="403">
      <c r="G403" s="87"/>
      <c r="H403" s="87"/>
    </row>
    <row r="404">
      <c r="G404" s="87"/>
      <c r="H404" s="87"/>
    </row>
    <row r="405">
      <c r="G405" s="87"/>
      <c r="H405" s="87"/>
    </row>
    <row r="406">
      <c r="G406" s="87"/>
      <c r="H406" s="87"/>
    </row>
    <row r="407">
      <c r="G407" s="87"/>
      <c r="H407" s="87"/>
    </row>
    <row r="408">
      <c r="G408" s="87"/>
      <c r="H408" s="87"/>
    </row>
    <row r="409">
      <c r="G409" s="87"/>
      <c r="H409" s="87"/>
    </row>
    <row r="410">
      <c r="G410" s="87"/>
      <c r="H410" s="87"/>
    </row>
    <row r="411">
      <c r="G411" s="87"/>
      <c r="H411" s="87"/>
    </row>
    <row r="412">
      <c r="G412" s="87"/>
      <c r="H412" s="87"/>
    </row>
    <row r="413">
      <c r="G413" s="87"/>
      <c r="H413" s="87"/>
    </row>
    <row r="414">
      <c r="G414" s="87"/>
      <c r="H414" s="87"/>
    </row>
    <row r="415">
      <c r="G415" s="87"/>
      <c r="H415" s="87"/>
    </row>
    <row r="416">
      <c r="G416" s="87"/>
      <c r="H416" s="87"/>
    </row>
    <row r="417">
      <c r="G417" s="87"/>
      <c r="H417" s="87"/>
    </row>
    <row r="418">
      <c r="G418" s="87"/>
      <c r="H418" s="87"/>
    </row>
    <row r="419">
      <c r="G419" s="87"/>
      <c r="H419" s="87"/>
    </row>
    <row r="420">
      <c r="G420" s="87"/>
      <c r="H420" s="87"/>
    </row>
    <row r="421">
      <c r="G421" s="87"/>
      <c r="H421" s="87"/>
    </row>
    <row r="422">
      <c r="G422" s="87"/>
      <c r="H422" s="87"/>
    </row>
    <row r="423">
      <c r="G423" s="87"/>
      <c r="H423" s="87"/>
    </row>
    <row r="424">
      <c r="G424" s="87"/>
      <c r="H424" s="87"/>
    </row>
    <row r="425">
      <c r="G425" s="87"/>
      <c r="H425" s="87"/>
    </row>
    <row r="426">
      <c r="G426" s="87"/>
      <c r="H426" s="87"/>
    </row>
    <row r="427">
      <c r="G427" s="87"/>
      <c r="H427" s="87"/>
    </row>
    <row r="428">
      <c r="G428" s="87"/>
      <c r="H428" s="87"/>
    </row>
    <row r="429">
      <c r="G429" s="87"/>
      <c r="H429" s="87"/>
    </row>
    <row r="430">
      <c r="G430" s="87"/>
      <c r="H430" s="87"/>
    </row>
    <row r="431">
      <c r="G431" s="87"/>
      <c r="H431" s="87"/>
    </row>
    <row r="432">
      <c r="G432" s="87"/>
      <c r="H432" s="87"/>
    </row>
    <row r="433">
      <c r="G433" s="87"/>
      <c r="H433" s="87"/>
    </row>
    <row r="434">
      <c r="G434" s="87"/>
      <c r="H434" s="87"/>
    </row>
    <row r="435">
      <c r="G435" s="87"/>
      <c r="H435" s="87"/>
    </row>
    <row r="436">
      <c r="G436" s="87"/>
      <c r="H436" s="87"/>
    </row>
    <row r="437">
      <c r="G437" s="87"/>
      <c r="H437" s="87"/>
    </row>
    <row r="438">
      <c r="G438" s="87"/>
      <c r="H438" s="87"/>
    </row>
    <row r="439">
      <c r="G439" s="87"/>
      <c r="H439" s="87"/>
    </row>
    <row r="440">
      <c r="G440" s="87"/>
      <c r="H440" s="87"/>
    </row>
    <row r="441">
      <c r="G441" s="87"/>
      <c r="H441" s="87"/>
    </row>
    <row r="442">
      <c r="G442" s="87"/>
      <c r="H442" s="87"/>
    </row>
    <row r="443">
      <c r="G443" s="87"/>
      <c r="H443" s="87"/>
    </row>
    <row r="444">
      <c r="G444" s="87"/>
      <c r="H444" s="87"/>
    </row>
    <row r="445">
      <c r="G445" s="87"/>
      <c r="H445" s="87"/>
    </row>
    <row r="446">
      <c r="G446" s="87"/>
      <c r="H446" s="87"/>
    </row>
    <row r="447">
      <c r="G447" s="87"/>
      <c r="H447" s="87"/>
    </row>
    <row r="448">
      <c r="G448" s="87"/>
      <c r="H448" s="87"/>
    </row>
    <row r="449">
      <c r="G449" s="87"/>
      <c r="H449" s="87"/>
    </row>
    <row r="450">
      <c r="G450" s="87"/>
      <c r="H450" s="87"/>
    </row>
    <row r="451">
      <c r="G451" s="87"/>
      <c r="H451" s="87"/>
    </row>
    <row r="452">
      <c r="G452" s="87"/>
      <c r="H452" s="87"/>
    </row>
    <row r="453">
      <c r="G453" s="87"/>
      <c r="H453" s="87"/>
    </row>
    <row r="454">
      <c r="G454" s="87"/>
      <c r="H454" s="87"/>
    </row>
    <row r="455">
      <c r="G455" s="87"/>
      <c r="H455" s="87"/>
    </row>
    <row r="456">
      <c r="G456" s="87"/>
      <c r="H456" s="87"/>
    </row>
    <row r="457">
      <c r="G457" s="87"/>
      <c r="H457" s="87"/>
    </row>
    <row r="458">
      <c r="G458" s="87"/>
      <c r="H458" s="87"/>
    </row>
    <row r="459">
      <c r="G459" s="87"/>
      <c r="H459" s="87"/>
    </row>
    <row r="460">
      <c r="G460" s="87"/>
      <c r="H460" s="87"/>
    </row>
    <row r="461">
      <c r="G461" s="87"/>
      <c r="H461" s="87"/>
    </row>
    <row r="462">
      <c r="G462" s="87"/>
      <c r="H462" s="87"/>
    </row>
    <row r="463">
      <c r="G463" s="87"/>
      <c r="H463" s="87"/>
    </row>
    <row r="464">
      <c r="G464" s="87"/>
      <c r="H464" s="87"/>
    </row>
    <row r="465">
      <c r="G465" s="87"/>
      <c r="H465" s="87"/>
    </row>
    <row r="466">
      <c r="G466" s="87"/>
      <c r="H466" s="87"/>
    </row>
    <row r="467">
      <c r="G467" s="87"/>
      <c r="H467" s="87"/>
    </row>
    <row r="468">
      <c r="G468" s="87"/>
      <c r="H468" s="87"/>
    </row>
    <row r="469">
      <c r="G469" s="87"/>
      <c r="H469" s="87"/>
    </row>
    <row r="470">
      <c r="G470" s="87"/>
      <c r="H470" s="87"/>
    </row>
    <row r="471">
      <c r="G471" s="87"/>
      <c r="H471" s="87"/>
    </row>
    <row r="472">
      <c r="G472" s="87"/>
      <c r="H472" s="87"/>
    </row>
    <row r="473">
      <c r="G473" s="87"/>
      <c r="H473" s="87"/>
    </row>
    <row r="474">
      <c r="G474" s="87"/>
      <c r="H474" s="87"/>
    </row>
    <row r="475">
      <c r="G475" s="87"/>
      <c r="H475" s="87"/>
    </row>
    <row r="476">
      <c r="G476" s="87"/>
      <c r="H476" s="87"/>
    </row>
    <row r="477">
      <c r="G477" s="87"/>
      <c r="H477" s="87"/>
    </row>
    <row r="478">
      <c r="G478" s="87"/>
      <c r="H478" s="87"/>
    </row>
    <row r="479">
      <c r="G479" s="87"/>
      <c r="H479" s="87"/>
    </row>
    <row r="480">
      <c r="G480" s="87"/>
      <c r="H480" s="87"/>
    </row>
    <row r="481">
      <c r="G481" s="87"/>
      <c r="H481" s="87"/>
    </row>
    <row r="482">
      <c r="G482" s="87"/>
      <c r="H482" s="87"/>
    </row>
    <row r="483">
      <c r="G483" s="87"/>
      <c r="H483" s="87"/>
    </row>
    <row r="484">
      <c r="G484" s="87"/>
      <c r="H484" s="87"/>
    </row>
    <row r="485">
      <c r="G485" s="87"/>
      <c r="H485" s="87"/>
    </row>
    <row r="486">
      <c r="G486" s="87"/>
      <c r="H486" s="87"/>
    </row>
    <row r="487">
      <c r="G487" s="87"/>
      <c r="H487" s="87"/>
    </row>
    <row r="488">
      <c r="G488" s="87"/>
      <c r="H488" s="87"/>
    </row>
    <row r="489">
      <c r="G489" s="87"/>
      <c r="H489" s="87"/>
    </row>
    <row r="490">
      <c r="G490" s="87"/>
      <c r="H490" s="87"/>
    </row>
    <row r="491">
      <c r="G491" s="87"/>
      <c r="H491" s="87"/>
    </row>
    <row r="492">
      <c r="G492" s="87"/>
      <c r="H492" s="87"/>
    </row>
    <row r="493">
      <c r="G493" s="87"/>
      <c r="H493" s="87"/>
    </row>
    <row r="494">
      <c r="G494" s="87"/>
      <c r="H494" s="87"/>
    </row>
    <row r="495">
      <c r="G495" s="87"/>
      <c r="H495" s="87"/>
    </row>
    <row r="496">
      <c r="G496" s="87"/>
      <c r="H496" s="87"/>
    </row>
    <row r="497">
      <c r="G497" s="87"/>
      <c r="H497" s="87"/>
    </row>
    <row r="498">
      <c r="G498" s="87"/>
      <c r="H498" s="87"/>
    </row>
    <row r="499">
      <c r="G499" s="87"/>
      <c r="H499" s="87"/>
    </row>
    <row r="500">
      <c r="G500" s="87"/>
      <c r="H500" s="87"/>
    </row>
    <row r="501">
      <c r="G501" s="87"/>
      <c r="H501" s="87"/>
    </row>
    <row r="502">
      <c r="G502" s="87"/>
      <c r="H502" s="87"/>
    </row>
    <row r="503">
      <c r="G503" s="87"/>
      <c r="H503" s="87"/>
    </row>
    <row r="504">
      <c r="G504" s="87"/>
      <c r="H504" s="87"/>
    </row>
    <row r="505">
      <c r="G505" s="87"/>
      <c r="H505" s="87"/>
    </row>
    <row r="506">
      <c r="G506" s="87"/>
      <c r="H506" s="87"/>
    </row>
    <row r="507">
      <c r="G507" s="87"/>
      <c r="H507" s="87"/>
    </row>
    <row r="508">
      <c r="G508" s="87"/>
      <c r="H508" s="87"/>
    </row>
    <row r="509">
      <c r="G509" s="87"/>
      <c r="H509" s="87"/>
    </row>
    <row r="510">
      <c r="G510" s="87"/>
      <c r="H510" s="87"/>
    </row>
    <row r="511">
      <c r="G511" s="87"/>
      <c r="H511" s="87"/>
    </row>
    <row r="512">
      <c r="G512" s="87"/>
      <c r="H512" s="87"/>
    </row>
    <row r="513">
      <c r="G513" s="87"/>
      <c r="H513" s="87"/>
    </row>
    <row r="514">
      <c r="G514" s="87"/>
      <c r="H514" s="87"/>
    </row>
    <row r="515">
      <c r="G515" s="87"/>
      <c r="H515" s="87"/>
    </row>
    <row r="516">
      <c r="G516" s="87"/>
      <c r="H516" s="87"/>
    </row>
    <row r="517">
      <c r="G517" s="87"/>
      <c r="H517" s="87"/>
    </row>
    <row r="518">
      <c r="G518" s="87"/>
      <c r="H518" s="87"/>
    </row>
    <row r="519">
      <c r="G519" s="87"/>
      <c r="H519" s="87"/>
    </row>
    <row r="520">
      <c r="G520" s="87"/>
      <c r="H520" s="87"/>
    </row>
    <row r="521">
      <c r="G521" s="87"/>
      <c r="H521" s="87"/>
    </row>
    <row r="522">
      <c r="G522" s="87"/>
      <c r="H522" s="87"/>
    </row>
    <row r="523">
      <c r="G523" s="87"/>
      <c r="H523" s="87"/>
    </row>
    <row r="524">
      <c r="G524" s="87"/>
      <c r="H524" s="87"/>
    </row>
    <row r="525">
      <c r="G525" s="87"/>
      <c r="H525" s="87"/>
    </row>
    <row r="526">
      <c r="G526" s="87"/>
      <c r="H526" s="87"/>
    </row>
    <row r="527">
      <c r="G527" s="87"/>
      <c r="H527" s="87"/>
    </row>
    <row r="528">
      <c r="G528" s="87"/>
      <c r="H528" s="87"/>
    </row>
    <row r="529">
      <c r="G529" s="87"/>
      <c r="H529" s="87"/>
    </row>
    <row r="530">
      <c r="G530" s="87"/>
      <c r="H530" s="87"/>
    </row>
    <row r="531">
      <c r="G531" s="87"/>
      <c r="H531" s="87"/>
    </row>
    <row r="532">
      <c r="G532" s="87"/>
      <c r="H532" s="87"/>
    </row>
    <row r="533">
      <c r="G533" s="87"/>
      <c r="H533" s="87"/>
    </row>
    <row r="534">
      <c r="G534" s="87"/>
      <c r="H534" s="87"/>
    </row>
    <row r="535">
      <c r="G535" s="87"/>
      <c r="H535" s="87"/>
    </row>
    <row r="536">
      <c r="G536" s="87"/>
      <c r="H536" s="87"/>
    </row>
    <row r="537">
      <c r="G537" s="87"/>
      <c r="H537" s="87"/>
    </row>
    <row r="538">
      <c r="G538" s="87"/>
      <c r="H538" s="87"/>
    </row>
    <row r="539">
      <c r="G539" s="87"/>
      <c r="H539" s="87"/>
    </row>
    <row r="540">
      <c r="G540" s="87"/>
      <c r="H540" s="87"/>
    </row>
    <row r="541">
      <c r="G541" s="87"/>
      <c r="H541" s="87"/>
    </row>
    <row r="542">
      <c r="G542" s="87"/>
      <c r="H542" s="87"/>
    </row>
    <row r="543">
      <c r="G543" s="87"/>
      <c r="H543" s="87"/>
    </row>
    <row r="544">
      <c r="G544" s="87"/>
      <c r="H544" s="87"/>
    </row>
    <row r="545">
      <c r="G545" s="87"/>
      <c r="H545" s="87"/>
    </row>
    <row r="546">
      <c r="G546" s="87"/>
      <c r="H546" s="87"/>
    </row>
    <row r="547">
      <c r="G547" s="87"/>
      <c r="H547" s="87"/>
    </row>
    <row r="548">
      <c r="G548" s="87"/>
      <c r="H548" s="87"/>
    </row>
    <row r="549">
      <c r="G549" s="87"/>
      <c r="H549" s="87"/>
    </row>
    <row r="550">
      <c r="G550" s="87"/>
      <c r="H550" s="87"/>
    </row>
    <row r="551">
      <c r="G551" s="87"/>
      <c r="H551" s="87"/>
    </row>
    <row r="552">
      <c r="G552" s="87"/>
      <c r="H552" s="87"/>
    </row>
    <row r="553">
      <c r="G553" s="87"/>
      <c r="H553" s="87"/>
    </row>
    <row r="554">
      <c r="G554" s="87"/>
      <c r="H554" s="87"/>
    </row>
    <row r="555">
      <c r="G555" s="87"/>
      <c r="H555" s="87"/>
    </row>
    <row r="556">
      <c r="G556" s="87"/>
      <c r="H556" s="87"/>
    </row>
    <row r="557">
      <c r="G557" s="87"/>
      <c r="H557" s="87"/>
    </row>
    <row r="558">
      <c r="G558" s="87"/>
      <c r="H558" s="87"/>
    </row>
    <row r="559">
      <c r="G559" s="87"/>
      <c r="H559" s="87"/>
    </row>
    <row r="560">
      <c r="G560" s="87"/>
      <c r="H560" s="87"/>
    </row>
    <row r="561">
      <c r="G561" s="87"/>
      <c r="H561" s="87"/>
    </row>
    <row r="562">
      <c r="G562" s="87"/>
      <c r="H562" s="87"/>
    </row>
    <row r="563">
      <c r="G563" s="87"/>
      <c r="H563" s="87"/>
    </row>
    <row r="564">
      <c r="G564" s="87"/>
      <c r="H564" s="87"/>
    </row>
    <row r="565">
      <c r="G565" s="87"/>
      <c r="H565" s="87"/>
    </row>
    <row r="566">
      <c r="G566" s="87"/>
      <c r="H566" s="87"/>
    </row>
    <row r="567">
      <c r="G567" s="87"/>
      <c r="H567" s="87"/>
    </row>
    <row r="568">
      <c r="G568" s="87"/>
      <c r="H568" s="87"/>
    </row>
    <row r="569">
      <c r="G569" s="87"/>
      <c r="H569" s="87"/>
    </row>
    <row r="570">
      <c r="G570" s="87"/>
      <c r="H570" s="87"/>
    </row>
    <row r="571">
      <c r="G571" s="87"/>
      <c r="H571" s="87"/>
    </row>
    <row r="572">
      <c r="G572" s="87"/>
      <c r="H572" s="87"/>
    </row>
    <row r="573">
      <c r="G573" s="87"/>
      <c r="H573" s="87"/>
    </row>
    <row r="574">
      <c r="G574" s="87"/>
      <c r="H574" s="87"/>
    </row>
    <row r="575">
      <c r="G575" s="87"/>
      <c r="H575" s="87"/>
    </row>
    <row r="576">
      <c r="G576" s="87"/>
      <c r="H576" s="87"/>
    </row>
    <row r="577">
      <c r="G577" s="87"/>
      <c r="H577" s="87"/>
    </row>
    <row r="578">
      <c r="G578" s="87"/>
      <c r="H578" s="87"/>
    </row>
    <row r="579">
      <c r="G579" s="87"/>
      <c r="H579" s="87"/>
    </row>
    <row r="580">
      <c r="G580" s="87"/>
      <c r="H580" s="87"/>
    </row>
    <row r="581">
      <c r="G581" s="87"/>
      <c r="H581" s="87"/>
    </row>
    <row r="582">
      <c r="G582" s="87"/>
      <c r="H582" s="87"/>
    </row>
    <row r="583">
      <c r="G583" s="87"/>
      <c r="H583" s="87"/>
    </row>
    <row r="584">
      <c r="G584" s="87"/>
      <c r="H584" s="87"/>
    </row>
    <row r="585">
      <c r="G585" s="87"/>
      <c r="H585" s="87"/>
    </row>
    <row r="586">
      <c r="G586" s="87"/>
      <c r="H586" s="87"/>
    </row>
    <row r="587">
      <c r="G587" s="87"/>
      <c r="H587" s="87"/>
    </row>
    <row r="588">
      <c r="G588" s="87"/>
      <c r="H588" s="87"/>
    </row>
    <row r="589">
      <c r="G589" s="87"/>
      <c r="H589" s="87"/>
    </row>
    <row r="590">
      <c r="G590" s="87"/>
      <c r="H590" s="87"/>
    </row>
    <row r="591">
      <c r="G591" s="87"/>
      <c r="H591" s="87"/>
    </row>
    <row r="592">
      <c r="G592" s="87"/>
      <c r="H592" s="87"/>
    </row>
    <row r="593">
      <c r="G593" s="87"/>
      <c r="H593" s="87"/>
    </row>
    <row r="594">
      <c r="G594" s="87"/>
      <c r="H594" s="87"/>
    </row>
    <row r="595">
      <c r="G595" s="87"/>
      <c r="H595" s="87"/>
    </row>
    <row r="596">
      <c r="G596" s="87"/>
      <c r="H596" s="87"/>
    </row>
    <row r="597">
      <c r="G597" s="87"/>
      <c r="H597" s="87"/>
    </row>
    <row r="598">
      <c r="G598" s="87"/>
      <c r="H598" s="87"/>
    </row>
    <row r="599">
      <c r="G599" s="87"/>
      <c r="H599" s="87"/>
    </row>
    <row r="600">
      <c r="G600" s="87"/>
      <c r="H600" s="87"/>
    </row>
    <row r="601">
      <c r="G601" s="87"/>
      <c r="H601" s="87"/>
    </row>
    <row r="602">
      <c r="G602" s="87"/>
      <c r="H602" s="87"/>
    </row>
    <row r="603">
      <c r="G603" s="87"/>
      <c r="H603" s="87"/>
    </row>
    <row r="604">
      <c r="G604" s="87"/>
      <c r="H604" s="87"/>
    </row>
    <row r="605">
      <c r="G605" s="87"/>
      <c r="H605" s="87"/>
    </row>
    <row r="606">
      <c r="G606" s="87"/>
      <c r="H606" s="87"/>
    </row>
    <row r="607">
      <c r="G607" s="87"/>
      <c r="H607" s="87"/>
    </row>
    <row r="608">
      <c r="G608" s="87"/>
      <c r="H608" s="87"/>
    </row>
    <row r="609">
      <c r="G609" s="87"/>
      <c r="H609" s="87"/>
    </row>
    <row r="610">
      <c r="G610" s="87"/>
      <c r="H610" s="87"/>
    </row>
    <row r="611">
      <c r="G611" s="87"/>
      <c r="H611" s="87"/>
    </row>
    <row r="612">
      <c r="G612" s="87"/>
      <c r="H612" s="87"/>
    </row>
    <row r="613">
      <c r="G613" s="87"/>
      <c r="H613" s="87"/>
    </row>
    <row r="614">
      <c r="G614" s="87"/>
      <c r="H614" s="87"/>
    </row>
    <row r="615">
      <c r="G615" s="87"/>
      <c r="H615" s="87"/>
    </row>
    <row r="616">
      <c r="G616" s="87"/>
      <c r="H616" s="87"/>
    </row>
    <row r="617">
      <c r="G617" s="87"/>
      <c r="H617" s="87"/>
    </row>
    <row r="618">
      <c r="G618" s="87"/>
      <c r="H618" s="87"/>
    </row>
    <row r="619">
      <c r="G619" s="87"/>
      <c r="H619" s="87"/>
    </row>
    <row r="620">
      <c r="G620" s="87"/>
      <c r="H620" s="87"/>
    </row>
    <row r="621">
      <c r="G621" s="87"/>
      <c r="H621" s="87"/>
    </row>
    <row r="622">
      <c r="G622" s="87"/>
      <c r="H622" s="87"/>
    </row>
    <row r="623">
      <c r="G623" s="87"/>
      <c r="H623" s="87"/>
    </row>
    <row r="624">
      <c r="G624" s="87"/>
      <c r="H624" s="87"/>
    </row>
    <row r="625">
      <c r="G625" s="87"/>
      <c r="H625" s="87"/>
    </row>
    <row r="626">
      <c r="G626" s="87"/>
      <c r="H626" s="87"/>
    </row>
    <row r="627">
      <c r="G627" s="87"/>
      <c r="H627" s="87"/>
    </row>
    <row r="628">
      <c r="G628" s="87"/>
      <c r="H628" s="87"/>
    </row>
    <row r="629">
      <c r="G629" s="87"/>
      <c r="H629" s="87"/>
    </row>
    <row r="630">
      <c r="G630" s="87"/>
      <c r="H630" s="87"/>
    </row>
    <row r="631">
      <c r="G631" s="87"/>
      <c r="H631" s="87"/>
    </row>
    <row r="632">
      <c r="G632" s="87"/>
      <c r="H632" s="87"/>
    </row>
    <row r="633">
      <c r="G633" s="87"/>
      <c r="H633" s="87"/>
    </row>
    <row r="634">
      <c r="G634" s="87"/>
      <c r="H634" s="87"/>
    </row>
    <row r="635">
      <c r="G635" s="87"/>
      <c r="H635" s="87"/>
    </row>
    <row r="636">
      <c r="G636" s="87"/>
      <c r="H636" s="87"/>
    </row>
    <row r="637">
      <c r="G637" s="87"/>
      <c r="H637" s="87"/>
    </row>
    <row r="638">
      <c r="G638" s="87"/>
      <c r="H638" s="87"/>
    </row>
    <row r="639">
      <c r="G639" s="87"/>
      <c r="H639" s="87"/>
    </row>
    <row r="640">
      <c r="G640" s="87"/>
      <c r="H640" s="87"/>
    </row>
    <row r="641">
      <c r="G641" s="87"/>
      <c r="H641" s="87"/>
    </row>
    <row r="642">
      <c r="G642" s="87"/>
      <c r="H642" s="87"/>
    </row>
    <row r="643">
      <c r="G643" s="87"/>
      <c r="H643" s="87"/>
    </row>
    <row r="644">
      <c r="G644" s="87"/>
      <c r="H644" s="87"/>
    </row>
    <row r="645">
      <c r="G645" s="87"/>
      <c r="H645" s="87"/>
    </row>
    <row r="646">
      <c r="G646" s="87"/>
      <c r="H646" s="87"/>
    </row>
    <row r="647">
      <c r="G647" s="87"/>
      <c r="H647" s="87"/>
    </row>
    <row r="648">
      <c r="G648" s="87"/>
      <c r="H648" s="87"/>
    </row>
    <row r="649">
      <c r="G649" s="87"/>
      <c r="H649" s="87"/>
    </row>
    <row r="650">
      <c r="G650" s="87"/>
      <c r="H650" s="87"/>
    </row>
    <row r="651">
      <c r="G651" s="87"/>
      <c r="H651" s="87"/>
    </row>
    <row r="652">
      <c r="G652" s="87"/>
      <c r="H652" s="87"/>
    </row>
    <row r="653">
      <c r="G653" s="87"/>
      <c r="H653" s="87"/>
    </row>
    <row r="654">
      <c r="G654" s="87"/>
      <c r="H654" s="87"/>
    </row>
    <row r="655">
      <c r="G655" s="87"/>
      <c r="H655" s="87"/>
    </row>
    <row r="656">
      <c r="G656" s="87"/>
      <c r="H656" s="87"/>
    </row>
    <row r="657">
      <c r="G657" s="87"/>
      <c r="H657" s="87"/>
    </row>
    <row r="658">
      <c r="G658" s="87"/>
      <c r="H658" s="87"/>
    </row>
    <row r="659">
      <c r="G659" s="87"/>
      <c r="H659" s="87"/>
    </row>
    <row r="660">
      <c r="G660" s="87"/>
      <c r="H660" s="87"/>
    </row>
    <row r="661">
      <c r="G661" s="87"/>
      <c r="H661" s="87"/>
    </row>
    <row r="662">
      <c r="G662" s="87"/>
      <c r="H662" s="87"/>
    </row>
    <row r="663">
      <c r="G663" s="87"/>
      <c r="H663" s="87"/>
    </row>
    <row r="664">
      <c r="G664" s="87"/>
      <c r="H664" s="87"/>
    </row>
    <row r="665">
      <c r="G665" s="87"/>
      <c r="H665" s="87"/>
    </row>
    <row r="666">
      <c r="G666" s="87"/>
      <c r="H666" s="87"/>
    </row>
    <row r="667">
      <c r="G667" s="87"/>
      <c r="H667" s="87"/>
    </row>
    <row r="668">
      <c r="G668" s="87"/>
      <c r="H668" s="87"/>
    </row>
    <row r="669">
      <c r="G669" s="87"/>
      <c r="H669" s="87"/>
    </row>
    <row r="670">
      <c r="G670" s="87"/>
      <c r="H670" s="87"/>
    </row>
    <row r="671">
      <c r="G671" s="87"/>
      <c r="H671" s="87"/>
    </row>
    <row r="672">
      <c r="G672" s="87"/>
      <c r="H672" s="87"/>
    </row>
    <row r="673">
      <c r="G673" s="87"/>
      <c r="H673" s="87"/>
    </row>
    <row r="674">
      <c r="G674" s="87"/>
      <c r="H674" s="87"/>
    </row>
    <row r="675">
      <c r="G675" s="87"/>
      <c r="H675" s="87"/>
    </row>
    <row r="676">
      <c r="G676" s="87"/>
      <c r="H676" s="87"/>
    </row>
    <row r="677">
      <c r="G677" s="87"/>
      <c r="H677" s="87"/>
    </row>
    <row r="678">
      <c r="G678" s="87"/>
      <c r="H678" s="87"/>
    </row>
    <row r="679">
      <c r="G679" s="87"/>
      <c r="H679" s="87"/>
    </row>
    <row r="680">
      <c r="G680" s="87"/>
      <c r="H680" s="87"/>
    </row>
    <row r="681">
      <c r="G681" s="87"/>
      <c r="H681" s="87"/>
    </row>
    <row r="682">
      <c r="G682" s="87"/>
      <c r="H682" s="87"/>
    </row>
    <row r="683">
      <c r="G683" s="87"/>
      <c r="H683" s="87"/>
    </row>
    <row r="684">
      <c r="G684" s="87"/>
      <c r="H684" s="87"/>
    </row>
    <row r="685">
      <c r="G685" s="87"/>
      <c r="H685" s="87"/>
    </row>
    <row r="686">
      <c r="G686" s="87"/>
      <c r="H686" s="87"/>
    </row>
    <row r="687">
      <c r="G687" s="87"/>
      <c r="H687" s="87"/>
    </row>
    <row r="688">
      <c r="G688" s="87"/>
      <c r="H688" s="87"/>
    </row>
    <row r="689">
      <c r="G689" s="87"/>
      <c r="H689" s="87"/>
    </row>
    <row r="690">
      <c r="G690" s="87"/>
      <c r="H690" s="87"/>
    </row>
    <row r="691">
      <c r="G691" s="87"/>
      <c r="H691" s="87"/>
    </row>
    <row r="692">
      <c r="G692" s="87"/>
      <c r="H692" s="87"/>
    </row>
    <row r="693">
      <c r="G693" s="87"/>
      <c r="H693" s="87"/>
    </row>
    <row r="694">
      <c r="G694" s="87"/>
      <c r="H694" s="87"/>
    </row>
    <row r="695">
      <c r="G695" s="87"/>
      <c r="H695" s="87"/>
    </row>
    <row r="696">
      <c r="G696" s="87"/>
      <c r="H696" s="87"/>
    </row>
    <row r="697">
      <c r="G697" s="87"/>
      <c r="H697" s="87"/>
    </row>
    <row r="698">
      <c r="G698" s="87"/>
      <c r="H698" s="87"/>
    </row>
    <row r="699">
      <c r="G699" s="87"/>
      <c r="H699" s="87"/>
    </row>
    <row r="700">
      <c r="G700" s="87"/>
      <c r="H700" s="87"/>
    </row>
    <row r="701">
      <c r="G701" s="87"/>
      <c r="H701" s="87"/>
    </row>
    <row r="702">
      <c r="G702" s="87"/>
      <c r="H702" s="87"/>
    </row>
    <row r="703">
      <c r="G703" s="87"/>
      <c r="H703" s="87"/>
    </row>
    <row r="704">
      <c r="G704" s="87"/>
      <c r="H704" s="87"/>
    </row>
    <row r="705">
      <c r="G705" s="87"/>
      <c r="H705" s="87"/>
    </row>
    <row r="706">
      <c r="G706" s="87"/>
      <c r="H706" s="87"/>
    </row>
    <row r="707">
      <c r="G707" s="87"/>
      <c r="H707" s="87"/>
    </row>
    <row r="708">
      <c r="G708" s="87"/>
      <c r="H708" s="87"/>
    </row>
    <row r="709">
      <c r="G709" s="87"/>
      <c r="H709" s="87"/>
    </row>
    <row r="710">
      <c r="G710" s="87"/>
      <c r="H710" s="87"/>
    </row>
    <row r="711">
      <c r="G711" s="87"/>
      <c r="H711" s="87"/>
    </row>
    <row r="712">
      <c r="G712" s="87"/>
      <c r="H712" s="87"/>
    </row>
    <row r="713">
      <c r="G713" s="87"/>
      <c r="H713" s="87"/>
    </row>
    <row r="714">
      <c r="G714" s="87"/>
      <c r="H714" s="87"/>
    </row>
    <row r="715">
      <c r="G715" s="87"/>
      <c r="H715" s="87"/>
    </row>
    <row r="716">
      <c r="G716" s="87"/>
      <c r="H716" s="87"/>
    </row>
    <row r="717">
      <c r="G717" s="87"/>
      <c r="H717" s="87"/>
    </row>
    <row r="718">
      <c r="G718" s="87"/>
      <c r="H718" s="87"/>
    </row>
    <row r="719">
      <c r="G719" s="87"/>
      <c r="H719" s="87"/>
    </row>
    <row r="720">
      <c r="G720" s="87"/>
      <c r="H720" s="87"/>
    </row>
    <row r="721">
      <c r="G721" s="87"/>
      <c r="H721" s="87"/>
    </row>
    <row r="722">
      <c r="G722" s="87"/>
      <c r="H722" s="87"/>
    </row>
    <row r="723">
      <c r="G723" s="87"/>
      <c r="H723" s="87"/>
    </row>
    <row r="724">
      <c r="G724" s="87"/>
      <c r="H724" s="87"/>
    </row>
    <row r="725">
      <c r="G725" s="87"/>
      <c r="H725" s="87"/>
    </row>
    <row r="726">
      <c r="G726" s="87"/>
      <c r="H726" s="87"/>
    </row>
    <row r="727">
      <c r="G727" s="87"/>
      <c r="H727" s="87"/>
    </row>
    <row r="728">
      <c r="G728" s="87"/>
      <c r="H728" s="87"/>
    </row>
    <row r="729">
      <c r="G729" s="87"/>
      <c r="H729" s="87"/>
    </row>
    <row r="730">
      <c r="G730" s="87"/>
      <c r="H730" s="87"/>
    </row>
    <row r="731">
      <c r="G731" s="87"/>
      <c r="H731" s="87"/>
    </row>
    <row r="732">
      <c r="G732" s="87"/>
      <c r="H732" s="87"/>
    </row>
    <row r="733">
      <c r="G733" s="87"/>
      <c r="H733" s="87"/>
    </row>
    <row r="734">
      <c r="G734" s="87"/>
      <c r="H734" s="87"/>
    </row>
    <row r="735">
      <c r="G735" s="87"/>
      <c r="H735" s="87"/>
    </row>
    <row r="736">
      <c r="G736" s="87"/>
      <c r="H736" s="87"/>
    </row>
    <row r="737">
      <c r="G737" s="87"/>
      <c r="H737" s="87"/>
    </row>
    <row r="738">
      <c r="G738" s="87"/>
      <c r="H738" s="87"/>
    </row>
    <row r="739">
      <c r="G739" s="87"/>
      <c r="H739" s="87"/>
    </row>
    <row r="740">
      <c r="G740" s="87"/>
      <c r="H740" s="87"/>
    </row>
    <row r="741">
      <c r="G741" s="87"/>
      <c r="H741" s="87"/>
    </row>
    <row r="742">
      <c r="G742" s="87"/>
      <c r="H742" s="87"/>
    </row>
    <row r="743">
      <c r="G743" s="87"/>
      <c r="H743" s="87"/>
    </row>
    <row r="744">
      <c r="G744" s="87"/>
      <c r="H744" s="87"/>
    </row>
    <row r="745">
      <c r="G745" s="87"/>
      <c r="H745" s="87"/>
    </row>
    <row r="746">
      <c r="G746" s="87"/>
      <c r="H746" s="87"/>
    </row>
    <row r="747">
      <c r="G747" s="87"/>
      <c r="H747" s="87"/>
    </row>
    <row r="748">
      <c r="G748" s="87"/>
      <c r="H748" s="87"/>
    </row>
    <row r="749">
      <c r="G749" s="87"/>
      <c r="H749" s="87"/>
    </row>
    <row r="750">
      <c r="G750" s="87"/>
      <c r="H750" s="87"/>
    </row>
    <row r="751">
      <c r="G751" s="87"/>
      <c r="H751" s="87"/>
    </row>
    <row r="752">
      <c r="G752" s="87"/>
      <c r="H752" s="87"/>
    </row>
    <row r="753">
      <c r="G753" s="87"/>
      <c r="H753" s="87"/>
    </row>
    <row r="754">
      <c r="G754" s="87"/>
      <c r="H754" s="87"/>
    </row>
    <row r="755">
      <c r="G755" s="87"/>
      <c r="H755" s="87"/>
    </row>
    <row r="756">
      <c r="G756" s="87"/>
      <c r="H756" s="87"/>
    </row>
    <row r="757">
      <c r="G757" s="87"/>
      <c r="H757" s="87"/>
    </row>
    <row r="758">
      <c r="G758" s="87"/>
      <c r="H758" s="87"/>
    </row>
    <row r="759">
      <c r="G759" s="87"/>
      <c r="H759" s="87"/>
    </row>
    <row r="760">
      <c r="G760" s="87"/>
      <c r="H760" s="87"/>
    </row>
    <row r="761">
      <c r="G761" s="87"/>
      <c r="H761" s="87"/>
    </row>
    <row r="762">
      <c r="G762" s="87"/>
      <c r="H762" s="87"/>
    </row>
    <row r="763">
      <c r="G763" s="87"/>
      <c r="H763" s="87"/>
    </row>
    <row r="764">
      <c r="G764" s="87"/>
      <c r="H764" s="87"/>
    </row>
    <row r="765">
      <c r="G765" s="87"/>
      <c r="H765" s="87"/>
    </row>
    <row r="766">
      <c r="G766" s="87"/>
      <c r="H766" s="87"/>
    </row>
    <row r="767">
      <c r="G767" s="87"/>
      <c r="H767" s="87"/>
    </row>
    <row r="768">
      <c r="G768" s="87"/>
      <c r="H768" s="87"/>
    </row>
    <row r="769">
      <c r="G769" s="87"/>
      <c r="H769" s="87"/>
    </row>
    <row r="770">
      <c r="G770" s="87"/>
      <c r="H770" s="87"/>
    </row>
    <row r="771">
      <c r="G771" s="87"/>
      <c r="H771" s="87"/>
    </row>
    <row r="772">
      <c r="G772" s="87"/>
      <c r="H772" s="87"/>
    </row>
    <row r="773">
      <c r="G773" s="87"/>
      <c r="H773" s="87"/>
    </row>
    <row r="774">
      <c r="G774" s="87"/>
      <c r="H774" s="87"/>
    </row>
    <row r="775">
      <c r="G775" s="87"/>
      <c r="H775" s="87"/>
    </row>
    <row r="776">
      <c r="G776" s="87"/>
      <c r="H776" s="87"/>
    </row>
    <row r="777">
      <c r="G777" s="87"/>
      <c r="H777" s="87"/>
    </row>
    <row r="778">
      <c r="G778" s="87"/>
      <c r="H778" s="87"/>
    </row>
    <row r="779">
      <c r="G779" s="87"/>
      <c r="H779" s="87"/>
    </row>
    <row r="780">
      <c r="G780" s="87"/>
      <c r="H780" s="87"/>
    </row>
    <row r="781">
      <c r="G781" s="87"/>
      <c r="H781" s="87"/>
    </row>
    <row r="782">
      <c r="G782" s="87"/>
      <c r="H782" s="87"/>
    </row>
    <row r="783">
      <c r="G783" s="87"/>
      <c r="H783" s="87"/>
    </row>
    <row r="784">
      <c r="G784" s="87"/>
      <c r="H784" s="87"/>
    </row>
    <row r="785">
      <c r="G785" s="87"/>
      <c r="H785" s="87"/>
    </row>
    <row r="786">
      <c r="G786" s="87"/>
      <c r="H786" s="87"/>
    </row>
    <row r="787">
      <c r="G787" s="87"/>
      <c r="H787" s="87"/>
    </row>
    <row r="788">
      <c r="G788" s="87"/>
      <c r="H788" s="87"/>
    </row>
    <row r="789">
      <c r="G789" s="87"/>
      <c r="H789" s="87"/>
    </row>
    <row r="790">
      <c r="G790" s="87"/>
      <c r="H790" s="87"/>
    </row>
    <row r="791">
      <c r="G791" s="87"/>
      <c r="H791" s="87"/>
    </row>
    <row r="792">
      <c r="G792" s="87"/>
      <c r="H792" s="87"/>
    </row>
    <row r="793">
      <c r="G793" s="87"/>
      <c r="H793" s="87"/>
    </row>
    <row r="794">
      <c r="G794" s="87"/>
      <c r="H794" s="87"/>
    </row>
    <row r="795">
      <c r="G795" s="87"/>
      <c r="H795" s="87"/>
    </row>
    <row r="796">
      <c r="G796" s="87"/>
      <c r="H796" s="87"/>
    </row>
    <row r="797">
      <c r="G797" s="87"/>
      <c r="H797" s="87"/>
    </row>
    <row r="798">
      <c r="G798" s="87"/>
      <c r="H798" s="87"/>
    </row>
    <row r="799">
      <c r="G799" s="87"/>
      <c r="H799" s="87"/>
    </row>
    <row r="800">
      <c r="G800" s="87"/>
      <c r="H800" s="87"/>
    </row>
    <row r="801">
      <c r="G801" s="87"/>
      <c r="H801" s="87"/>
    </row>
    <row r="802">
      <c r="G802" s="87"/>
      <c r="H802" s="87"/>
    </row>
    <row r="803">
      <c r="G803" s="87"/>
      <c r="H803" s="87"/>
    </row>
    <row r="804">
      <c r="G804" s="87"/>
      <c r="H804" s="87"/>
    </row>
    <row r="805">
      <c r="G805" s="87"/>
      <c r="H805" s="87"/>
    </row>
    <row r="806">
      <c r="G806" s="87"/>
      <c r="H806" s="87"/>
    </row>
    <row r="807">
      <c r="G807" s="87"/>
      <c r="H807" s="87"/>
    </row>
    <row r="808">
      <c r="G808" s="87"/>
      <c r="H808" s="87"/>
    </row>
    <row r="809">
      <c r="G809" s="87"/>
      <c r="H809" s="87"/>
    </row>
    <row r="810">
      <c r="G810" s="87"/>
      <c r="H810" s="87"/>
    </row>
    <row r="811">
      <c r="G811" s="87"/>
      <c r="H811" s="87"/>
    </row>
    <row r="812">
      <c r="G812" s="87"/>
      <c r="H812" s="87"/>
    </row>
    <row r="813">
      <c r="G813" s="87"/>
      <c r="H813" s="87"/>
    </row>
    <row r="814">
      <c r="G814" s="87"/>
      <c r="H814" s="87"/>
    </row>
    <row r="815">
      <c r="G815" s="87"/>
      <c r="H815" s="87"/>
    </row>
    <row r="816">
      <c r="G816" s="87"/>
      <c r="H816" s="87"/>
    </row>
    <row r="817">
      <c r="G817" s="87"/>
      <c r="H817" s="87"/>
    </row>
    <row r="818">
      <c r="G818" s="87"/>
      <c r="H818" s="87"/>
    </row>
    <row r="819">
      <c r="G819" s="87"/>
      <c r="H819" s="87"/>
    </row>
    <row r="820">
      <c r="G820" s="87"/>
      <c r="H820" s="87"/>
    </row>
    <row r="821">
      <c r="G821" s="87"/>
      <c r="H821" s="87"/>
    </row>
    <row r="822">
      <c r="G822" s="87"/>
      <c r="H822" s="87"/>
    </row>
    <row r="823">
      <c r="G823" s="87"/>
      <c r="H823" s="87"/>
    </row>
    <row r="824">
      <c r="G824" s="87"/>
      <c r="H824" s="87"/>
    </row>
    <row r="825">
      <c r="G825" s="87"/>
      <c r="H825" s="87"/>
    </row>
    <row r="826">
      <c r="G826" s="87"/>
      <c r="H826" s="87"/>
    </row>
    <row r="827">
      <c r="G827" s="87"/>
      <c r="H827" s="87"/>
    </row>
    <row r="828">
      <c r="G828" s="87"/>
      <c r="H828" s="87"/>
    </row>
    <row r="829">
      <c r="G829" s="87"/>
      <c r="H829" s="87"/>
    </row>
    <row r="830">
      <c r="G830" s="87"/>
      <c r="H830" s="87"/>
    </row>
    <row r="831">
      <c r="G831" s="87"/>
      <c r="H831" s="87"/>
    </row>
    <row r="832">
      <c r="G832" s="87"/>
      <c r="H832" s="87"/>
    </row>
    <row r="833">
      <c r="G833" s="87"/>
      <c r="H833" s="87"/>
    </row>
    <row r="834">
      <c r="G834" s="87"/>
      <c r="H834" s="87"/>
    </row>
    <row r="835">
      <c r="G835" s="87"/>
      <c r="H835" s="87"/>
    </row>
    <row r="836">
      <c r="G836" s="87"/>
      <c r="H836" s="87"/>
    </row>
    <row r="837">
      <c r="G837" s="87"/>
      <c r="H837" s="87"/>
    </row>
    <row r="838">
      <c r="G838" s="87"/>
      <c r="H838" s="87"/>
    </row>
    <row r="839">
      <c r="G839" s="87"/>
      <c r="H839" s="87"/>
    </row>
    <row r="840">
      <c r="G840" s="87"/>
      <c r="H840" s="87"/>
    </row>
    <row r="841">
      <c r="G841" s="87"/>
      <c r="H841" s="87"/>
    </row>
    <row r="842">
      <c r="G842" s="87"/>
      <c r="H842" s="87"/>
    </row>
    <row r="843">
      <c r="G843" s="87"/>
      <c r="H843" s="87"/>
    </row>
    <row r="844">
      <c r="G844" s="87"/>
      <c r="H844" s="87"/>
    </row>
    <row r="845">
      <c r="G845" s="87"/>
      <c r="H845" s="87"/>
    </row>
    <row r="846">
      <c r="G846" s="87"/>
      <c r="H846" s="87"/>
    </row>
    <row r="847">
      <c r="G847" s="87"/>
      <c r="H847" s="87"/>
    </row>
    <row r="848">
      <c r="G848" s="87"/>
      <c r="H848" s="87"/>
    </row>
    <row r="849">
      <c r="G849" s="87"/>
      <c r="H849" s="87"/>
    </row>
    <row r="850">
      <c r="G850" s="87"/>
      <c r="H850" s="87"/>
    </row>
    <row r="851">
      <c r="G851" s="87"/>
      <c r="H851" s="87"/>
    </row>
    <row r="852">
      <c r="G852" s="87"/>
      <c r="H852" s="87"/>
    </row>
    <row r="853">
      <c r="G853" s="87"/>
      <c r="H853" s="87"/>
    </row>
    <row r="854">
      <c r="G854" s="87"/>
      <c r="H854" s="87"/>
    </row>
    <row r="855">
      <c r="G855" s="87"/>
      <c r="H855" s="87"/>
    </row>
    <row r="856">
      <c r="G856" s="87"/>
      <c r="H856" s="87"/>
    </row>
    <row r="857">
      <c r="G857" s="87"/>
      <c r="H857" s="87"/>
    </row>
    <row r="858">
      <c r="G858" s="87"/>
      <c r="H858" s="87"/>
    </row>
    <row r="859">
      <c r="G859" s="87"/>
      <c r="H859" s="87"/>
    </row>
    <row r="860">
      <c r="G860" s="87"/>
      <c r="H860" s="87"/>
    </row>
    <row r="861">
      <c r="G861" s="87"/>
      <c r="H861" s="87"/>
    </row>
    <row r="862">
      <c r="G862" s="87"/>
      <c r="H862" s="87"/>
    </row>
    <row r="863">
      <c r="G863" s="87"/>
      <c r="H863" s="87"/>
    </row>
    <row r="864">
      <c r="G864" s="87"/>
      <c r="H864" s="87"/>
    </row>
    <row r="865">
      <c r="G865" s="87"/>
      <c r="H865" s="87"/>
    </row>
    <row r="866">
      <c r="G866" s="87"/>
      <c r="H866" s="87"/>
    </row>
    <row r="867">
      <c r="G867" s="87"/>
      <c r="H867" s="87"/>
    </row>
    <row r="868">
      <c r="G868" s="87"/>
      <c r="H868" s="87"/>
    </row>
    <row r="869">
      <c r="G869" s="87"/>
      <c r="H869" s="87"/>
    </row>
    <row r="870">
      <c r="G870" s="87"/>
      <c r="H870" s="87"/>
    </row>
    <row r="871">
      <c r="G871" s="87"/>
      <c r="H871" s="87"/>
    </row>
    <row r="872">
      <c r="G872" s="87"/>
      <c r="H872" s="87"/>
    </row>
    <row r="873">
      <c r="G873" s="87"/>
      <c r="H873" s="87"/>
    </row>
    <row r="874">
      <c r="G874" s="87"/>
      <c r="H874" s="87"/>
    </row>
    <row r="875">
      <c r="G875" s="87"/>
      <c r="H875" s="87"/>
    </row>
    <row r="876">
      <c r="G876" s="87"/>
      <c r="H876" s="87"/>
    </row>
    <row r="877">
      <c r="G877" s="87"/>
      <c r="H877" s="87"/>
    </row>
    <row r="878">
      <c r="G878" s="87"/>
      <c r="H878" s="87"/>
    </row>
    <row r="879">
      <c r="G879" s="87"/>
      <c r="H879" s="87"/>
    </row>
    <row r="880">
      <c r="G880" s="87"/>
      <c r="H880" s="87"/>
    </row>
    <row r="881">
      <c r="G881" s="87"/>
      <c r="H881" s="87"/>
    </row>
    <row r="882">
      <c r="G882" s="87"/>
      <c r="H882" s="87"/>
    </row>
    <row r="883">
      <c r="G883" s="87"/>
      <c r="H883" s="87"/>
    </row>
    <row r="884">
      <c r="G884" s="87"/>
      <c r="H884" s="87"/>
    </row>
    <row r="885">
      <c r="G885" s="87"/>
      <c r="H885" s="87"/>
    </row>
    <row r="886">
      <c r="G886" s="87"/>
      <c r="H886" s="87"/>
    </row>
    <row r="887">
      <c r="G887" s="87"/>
      <c r="H887" s="87"/>
    </row>
    <row r="888">
      <c r="G888" s="87"/>
      <c r="H888" s="87"/>
    </row>
    <row r="889">
      <c r="G889" s="87"/>
      <c r="H889" s="87"/>
    </row>
    <row r="890">
      <c r="G890" s="87"/>
      <c r="H890" s="87"/>
    </row>
    <row r="891">
      <c r="G891" s="87"/>
      <c r="H891" s="87"/>
    </row>
    <row r="892">
      <c r="G892" s="87"/>
      <c r="H892" s="87"/>
    </row>
    <row r="893">
      <c r="G893" s="87"/>
      <c r="H893" s="87"/>
    </row>
    <row r="894">
      <c r="G894" s="87"/>
      <c r="H894" s="87"/>
    </row>
    <row r="895">
      <c r="G895" s="87"/>
      <c r="H895" s="87"/>
    </row>
    <row r="896">
      <c r="G896" s="87"/>
      <c r="H896" s="87"/>
    </row>
    <row r="897">
      <c r="G897" s="87"/>
      <c r="H897" s="87"/>
    </row>
    <row r="898">
      <c r="G898" s="87"/>
      <c r="H898" s="87"/>
    </row>
    <row r="899">
      <c r="G899" s="87"/>
      <c r="H899" s="87"/>
    </row>
    <row r="900">
      <c r="G900" s="87"/>
      <c r="H900" s="87"/>
    </row>
    <row r="901">
      <c r="G901" s="87"/>
      <c r="H901" s="87"/>
    </row>
    <row r="902">
      <c r="G902" s="87"/>
      <c r="H902" s="87"/>
    </row>
    <row r="903">
      <c r="G903" s="87"/>
      <c r="H903" s="87"/>
    </row>
    <row r="904">
      <c r="G904" s="87"/>
      <c r="H904" s="87"/>
    </row>
    <row r="905">
      <c r="G905" s="87"/>
      <c r="H905" s="87"/>
    </row>
    <row r="906">
      <c r="G906" s="87"/>
      <c r="H906" s="87"/>
    </row>
    <row r="907">
      <c r="G907" s="87"/>
      <c r="H907" s="87"/>
    </row>
    <row r="908">
      <c r="G908" s="87"/>
      <c r="H908" s="87"/>
    </row>
    <row r="909">
      <c r="G909" s="87"/>
      <c r="H909" s="87"/>
    </row>
    <row r="910">
      <c r="G910" s="87"/>
      <c r="H910" s="87"/>
    </row>
    <row r="911">
      <c r="G911" s="87"/>
      <c r="H911" s="87"/>
    </row>
    <row r="912">
      <c r="G912" s="87"/>
      <c r="H912" s="87"/>
    </row>
    <row r="913">
      <c r="G913" s="87"/>
      <c r="H913" s="87"/>
    </row>
    <row r="914">
      <c r="G914" s="87"/>
      <c r="H914" s="87"/>
    </row>
    <row r="915">
      <c r="G915" s="87"/>
      <c r="H915" s="87"/>
    </row>
    <row r="916">
      <c r="G916" s="87"/>
      <c r="H916" s="87"/>
    </row>
    <row r="917">
      <c r="G917" s="87"/>
      <c r="H917" s="87"/>
    </row>
    <row r="918">
      <c r="G918" s="87"/>
      <c r="H918" s="87"/>
    </row>
    <row r="919">
      <c r="G919" s="87"/>
      <c r="H919" s="87"/>
    </row>
    <row r="920">
      <c r="G920" s="87"/>
      <c r="H920" s="87"/>
    </row>
    <row r="921">
      <c r="G921" s="87"/>
      <c r="H921" s="87"/>
    </row>
    <row r="922">
      <c r="G922" s="87"/>
      <c r="H922" s="87"/>
    </row>
    <row r="923">
      <c r="G923" s="87"/>
      <c r="H923" s="87"/>
    </row>
    <row r="924">
      <c r="G924" s="87"/>
      <c r="H924" s="87"/>
    </row>
    <row r="925">
      <c r="G925" s="87"/>
      <c r="H925" s="87"/>
    </row>
    <row r="926">
      <c r="G926" s="87"/>
      <c r="H926" s="87"/>
    </row>
    <row r="927">
      <c r="G927" s="87"/>
      <c r="H927" s="87"/>
    </row>
    <row r="928">
      <c r="G928" s="87"/>
      <c r="H928" s="87"/>
    </row>
    <row r="929">
      <c r="G929" s="87"/>
      <c r="H929" s="87"/>
    </row>
    <row r="930">
      <c r="G930" s="87"/>
      <c r="H930" s="87"/>
    </row>
    <row r="931">
      <c r="G931" s="87"/>
      <c r="H931" s="87"/>
    </row>
    <row r="932">
      <c r="G932" s="87"/>
      <c r="H932" s="87"/>
    </row>
    <row r="933">
      <c r="G933" s="87"/>
      <c r="H933" s="87"/>
    </row>
    <row r="934">
      <c r="G934" s="87"/>
      <c r="H934" s="87"/>
    </row>
    <row r="935">
      <c r="G935" s="87"/>
      <c r="H935" s="87"/>
    </row>
    <row r="936">
      <c r="G936" s="87"/>
      <c r="H936" s="87"/>
    </row>
    <row r="937">
      <c r="G937" s="87"/>
      <c r="H937" s="87"/>
    </row>
    <row r="938">
      <c r="G938" s="87"/>
      <c r="H938" s="87"/>
    </row>
    <row r="939">
      <c r="G939" s="87"/>
      <c r="H939" s="87"/>
    </row>
    <row r="940">
      <c r="G940" s="87"/>
      <c r="H940" s="87"/>
    </row>
    <row r="941">
      <c r="G941" s="87"/>
      <c r="H941" s="87"/>
    </row>
    <row r="942">
      <c r="G942" s="87"/>
      <c r="H942" s="87"/>
    </row>
    <row r="943">
      <c r="G943" s="87"/>
      <c r="H943" s="87"/>
    </row>
    <row r="944">
      <c r="G944" s="87"/>
      <c r="H944" s="87"/>
    </row>
    <row r="945">
      <c r="G945" s="87"/>
      <c r="H945" s="87"/>
    </row>
    <row r="946">
      <c r="G946" s="87"/>
      <c r="H946" s="87"/>
    </row>
    <row r="947">
      <c r="G947" s="87"/>
      <c r="H947" s="87"/>
    </row>
    <row r="948">
      <c r="G948" s="87"/>
      <c r="H948" s="87"/>
    </row>
    <row r="949">
      <c r="G949" s="87"/>
      <c r="H949" s="87"/>
    </row>
    <row r="950">
      <c r="G950" s="87"/>
      <c r="H950" s="87"/>
    </row>
    <row r="951">
      <c r="G951" s="87"/>
      <c r="H951" s="87"/>
    </row>
    <row r="952">
      <c r="G952" s="87"/>
      <c r="H952" s="87"/>
    </row>
    <row r="953">
      <c r="G953" s="87"/>
      <c r="H953" s="87"/>
    </row>
    <row r="954">
      <c r="G954" s="87"/>
      <c r="H954" s="87"/>
    </row>
    <row r="955">
      <c r="G955" s="87"/>
      <c r="H955" s="87"/>
    </row>
    <row r="956">
      <c r="G956" s="87"/>
      <c r="H956" s="87"/>
    </row>
    <row r="957">
      <c r="G957" s="87"/>
      <c r="H957" s="87"/>
    </row>
    <row r="958">
      <c r="G958" s="87"/>
      <c r="H958" s="87"/>
    </row>
    <row r="959">
      <c r="G959" s="87"/>
      <c r="H959" s="87"/>
    </row>
    <row r="960">
      <c r="G960" s="87"/>
      <c r="H960" s="87"/>
    </row>
    <row r="961">
      <c r="G961" s="87"/>
      <c r="H961" s="87"/>
    </row>
    <row r="962">
      <c r="G962" s="87"/>
      <c r="H962" s="87"/>
    </row>
    <row r="963">
      <c r="G963" s="87"/>
      <c r="H963" s="87"/>
    </row>
    <row r="964">
      <c r="G964" s="87"/>
      <c r="H964" s="87"/>
    </row>
    <row r="965">
      <c r="G965" s="87"/>
      <c r="H965" s="87"/>
    </row>
    <row r="966">
      <c r="G966" s="87"/>
      <c r="H966" s="87"/>
    </row>
    <row r="967">
      <c r="G967" s="87"/>
      <c r="H967" s="87"/>
    </row>
    <row r="968">
      <c r="G968" s="87"/>
      <c r="H968" s="87"/>
    </row>
    <row r="969">
      <c r="G969" s="87"/>
      <c r="H969" s="87"/>
    </row>
    <row r="970">
      <c r="G970" s="87"/>
      <c r="H970" s="87"/>
    </row>
    <row r="971">
      <c r="G971" s="87"/>
      <c r="H971" s="87"/>
    </row>
    <row r="972">
      <c r="G972" s="87"/>
      <c r="H972" s="87"/>
    </row>
    <row r="973">
      <c r="G973" s="87"/>
      <c r="H973" s="87"/>
    </row>
    <row r="974">
      <c r="G974" s="87"/>
      <c r="H974" s="87"/>
    </row>
    <row r="975">
      <c r="G975" s="87"/>
      <c r="H975" s="87"/>
    </row>
    <row r="976">
      <c r="G976" s="87"/>
      <c r="H976" s="87"/>
    </row>
    <row r="977">
      <c r="G977" s="87"/>
      <c r="H977" s="87"/>
    </row>
    <row r="978">
      <c r="G978" s="87"/>
      <c r="H978" s="87"/>
    </row>
    <row r="979">
      <c r="G979" s="87"/>
      <c r="H979" s="87"/>
    </row>
    <row r="980">
      <c r="G980" s="87"/>
      <c r="H980" s="87"/>
    </row>
    <row r="981">
      <c r="G981" s="87"/>
      <c r="H981" s="87"/>
    </row>
    <row r="982">
      <c r="G982" s="87"/>
      <c r="H982" s="87"/>
    </row>
    <row r="983">
      <c r="G983" s="87"/>
      <c r="H983" s="87"/>
    </row>
    <row r="984">
      <c r="G984" s="87"/>
      <c r="H984" s="87"/>
    </row>
    <row r="985">
      <c r="G985" s="87"/>
      <c r="H985" s="87"/>
    </row>
    <row r="986">
      <c r="G986" s="87"/>
      <c r="H986" s="87"/>
    </row>
    <row r="987">
      <c r="G987" s="87"/>
      <c r="H987" s="87"/>
    </row>
    <row r="988">
      <c r="G988" s="87"/>
      <c r="H988" s="87"/>
    </row>
    <row r="989">
      <c r="G989" s="87"/>
      <c r="H989" s="87"/>
    </row>
    <row r="990">
      <c r="G990" s="87"/>
      <c r="H990" s="87"/>
    </row>
    <row r="991">
      <c r="G991" s="87"/>
      <c r="H991" s="87"/>
    </row>
    <row r="992">
      <c r="G992" s="87"/>
      <c r="H992" s="87"/>
    </row>
    <row r="993">
      <c r="G993" s="87"/>
      <c r="H993" s="87"/>
    </row>
    <row r="994">
      <c r="G994" s="87"/>
      <c r="H994" s="87"/>
    </row>
    <row r="995">
      <c r="G995" s="87"/>
      <c r="H995" s="87"/>
    </row>
    <row r="996">
      <c r="G996" s="87"/>
      <c r="H996" s="87"/>
    </row>
    <row r="997">
      <c r="G997" s="87"/>
      <c r="H997" s="87"/>
    </row>
    <row r="998">
      <c r="G998" s="87"/>
      <c r="H998" s="87"/>
    </row>
    <row r="999">
      <c r="G999" s="87"/>
      <c r="H999" s="87"/>
    </row>
    <row r="1000">
      <c r="G1000" s="87"/>
      <c r="H1000" s="87"/>
    </row>
  </sheetData>
  <autoFilter ref="$A$1:$H$4">
    <sortState ref="A1:H4">
      <sortCondition ref="A1:A4"/>
      <sortCondition ref="E1:E4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1.38"/>
    <col customWidth="1" min="3" max="3" width="13.88"/>
    <col customWidth="1" min="4" max="4" width="22.63"/>
    <col customWidth="1" min="5" max="5" width="12.63"/>
    <col customWidth="1" min="6" max="6" width="22.63"/>
    <col customWidth="1" min="7" max="8" width="18.88"/>
  </cols>
  <sheetData>
    <row r="1">
      <c r="A1" s="79" t="s">
        <v>135</v>
      </c>
      <c r="B1" s="79" t="s">
        <v>136</v>
      </c>
      <c r="C1" s="79" t="s">
        <v>16</v>
      </c>
      <c r="D1" s="79" t="s">
        <v>17</v>
      </c>
      <c r="E1" s="79" t="s">
        <v>18</v>
      </c>
      <c r="F1" s="79" t="s">
        <v>19</v>
      </c>
      <c r="G1" s="82" t="s">
        <v>139</v>
      </c>
      <c r="H1" s="82" t="s">
        <v>140</v>
      </c>
    </row>
    <row r="2">
      <c r="A2" s="80" t="s">
        <v>143</v>
      </c>
      <c r="B2" s="83">
        <v>4.0</v>
      </c>
      <c r="C2" s="80" t="s">
        <v>39</v>
      </c>
      <c r="D2" s="80" t="s">
        <v>40</v>
      </c>
      <c r="E2" s="80" t="s">
        <v>41</v>
      </c>
      <c r="G2" s="85">
        <v>46099.4083687963</v>
      </c>
      <c r="H2" s="85">
        <v>46099.4083687963</v>
      </c>
    </row>
    <row r="3">
      <c r="G3" s="87"/>
      <c r="H3" s="87"/>
    </row>
    <row r="4">
      <c r="G4" s="87"/>
      <c r="H4" s="87"/>
    </row>
    <row r="5">
      <c r="G5" s="87"/>
      <c r="H5" s="87"/>
    </row>
    <row r="6">
      <c r="G6" s="87"/>
      <c r="H6" s="87"/>
    </row>
    <row r="7">
      <c r="G7" s="87"/>
      <c r="H7" s="87"/>
    </row>
    <row r="8">
      <c r="G8" s="87"/>
      <c r="H8" s="87"/>
    </row>
    <row r="9">
      <c r="G9" s="87"/>
      <c r="H9" s="87"/>
    </row>
    <row r="10">
      <c r="G10" s="87"/>
      <c r="H10" s="87"/>
    </row>
    <row r="11">
      <c r="G11" s="87"/>
      <c r="H11" s="87"/>
    </row>
    <row r="12">
      <c r="G12" s="87"/>
      <c r="H12" s="87"/>
    </row>
    <row r="13">
      <c r="G13" s="87"/>
      <c r="H13" s="87"/>
    </row>
    <row r="14">
      <c r="G14" s="87"/>
      <c r="H14" s="87"/>
    </row>
    <row r="15">
      <c r="G15" s="87"/>
      <c r="H15" s="87"/>
    </row>
    <row r="16">
      <c r="G16" s="87"/>
      <c r="H16" s="87"/>
    </row>
    <row r="17">
      <c r="G17" s="87"/>
      <c r="H17" s="87"/>
    </row>
    <row r="18">
      <c r="G18" s="87"/>
      <c r="H18" s="87"/>
    </row>
    <row r="19">
      <c r="G19" s="87"/>
      <c r="H19" s="87"/>
    </row>
    <row r="20">
      <c r="G20" s="87"/>
      <c r="H20" s="87"/>
    </row>
    <row r="21">
      <c r="G21" s="87"/>
      <c r="H21" s="87"/>
    </row>
    <row r="22">
      <c r="G22" s="87"/>
      <c r="H22" s="87"/>
    </row>
    <row r="23">
      <c r="G23" s="87"/>
      <c r="H23" s="87"/>
    </row>
    <row r="24">
      <c r="G24" s="87"/>
      <c r="H24" s="87"/>
    </row>
    <row r="25">
      <c r="G25" s="87"/>
      <c r="H25" s="87"/>
    </row>
    <row r="26">
      <c r="G26" s="87"/>
      <c r="H26" s="87"/>
    </row>
    <row r="27">
      <c r="G27" s="87"/>
      <c r="H27" s="87"/>
    </row>
    <row r="28">
      <c r="G28" s="87"/>
      <c r="H28" s="87"/>
    </row>
    <row r="29">
      <c r="G29" s="87"/>
      <c r="H29" s="87"/>
    </row>
    <row r="30">
      <c r="G30" s="87"/>
      <c r="H30" s="87"/>
    </row>
    <row r="31">
      <c r="G31" s="87"/>
      <c r="H31" s="87"/>
    </row>
    <row r="32">
      <c r="G32" s="87"/>
      <c r="H32" s="87"/>
    </row>
    <row r="33">
      <c r="G33" s="87"/>
      <c r="H33" s="87"/>
    </row>
    <row r="34">
      <c r="G34" s="87"/>
      <c r="H34" s="87"/>
    </row>
    <row r="35">
      <c r="G35" s="87"/>
      <c r="H35" s="87"/>
    </row>
    <row r="36">
      <c r="G36" s="87"/>
      <c r="H36" s="87"/>
    </row>
    <row r="37">
      <c r="G37" s="87"/>
      <c r="H37" s="87"/>
    </row>
    <row r="38">
      <c r="G38" s="87"/>
      <c r="H38" s="87"/>
    </row>
    <row r="39">
      <c r="G39" s="87"/>
      <c r="H39" s="87"/>
    </row>
    <row r="40">
      <c r="G40" s="87"/>
      <c r="H40" s="87"/>
    </row>
    <row r="41">
      <c r="G41" s="87"/>
      <c r="H41" s="87"/>
    </row>
    <row r="42">
      <c r="G42" s="87"/>
      <c r="H42" s="87"/>
    </row>
    <row r="43">
      <c r="G43" s="87"/>
      <c r="H43" s="87"/>
    </row>
    <row r="44">
      <c r="G44" s="87"/>
      <c r="H44" s="87"/>
    </row>
    <row r="45">
      <c r="G45" s="87"/>
      <c r="H45" s="87"/>
    </row>
    <row r="46">
      <c r="G46" s="87"/>
      <c r="H46" s="87"/>
    </row>
    <row r="47">
      <c r="G47" s="87"/>
      <c r="H47" s="87"/>
    </row>
    <row r="48">
      <c r="G48" s="87"/>
      <c r="H48" s="87"/>
    </row>
    <row r="49">
      <c r="G49" s="87"/>
      <c r="H49" s="87"/>
    </row>
    <row r="50">
      <c r="G50" s="87"/>
      <c r="H50" s="87"/>
    </row>
    <row r="51">
      <c r="G51" s="87"/>
      <c r="H51" s="87"/>
    </row>
    <row r="52">
      <c r="G52" s="87"/>
      <c r="H52" s="87"/>
    </row>
    <row r="53">
      <c r="G53" s="87"/>
      <c r="H53" s="87"/>
    </row>
    <row r="54">
      <c r="G54" s="87"/>
      <c r="H54" s="87"/>
    </row>
    <row r="55">
      <c r="G55" s="87"/>
      <c r="H55" s="87"/>
    </row>
    <row r="56">
      <c r="G56" s="87"/>
      <c r="H56" s="87"/>
    </row>
    <row r="57">
      <c r="G57" s="87"/>
      <c r="H57" s="87"/>
    </row>
    <row r="58">
      <c r="G58" s="87"/>
      <c r="H58" s="87"/>
    </row>
    <row r="59">
      <c r="G59" s="87"/>
      <c r="H59" s="87"/>
    </row>
    <row r="60">
      <c r="G60" s="87"/>
      <c r="H60" s="87"/>
    </row>
    <row r="61">
      <c r="G61" s="87"/>
      <c r="H61" s="87"/>
    </row>
    <row r="62">
      <c r="G62" s="87"/>
      <c r="H62" s="87"/>
    </row>
    <row r="63">
      <c r="G63" s="87"/>
      <c r="H63" s="87"/>
    </row>
    <row r="64">
      <c r="G64" s="87"/>
      <c r="H64" s="87"/>
    </row>
    <row r="65">
      <c r="G65" s="87"/>
      <c r="H65" s="87"/>
    </row>
    <row r="66">
      <c r="G66" s="87"/>
      <c r="H66" s="87"/>
    </row>
    <row r="67">
      <c r="G67" s="87"/>
      <c r="H67" s="87"/>
    </row>
    <row r="68">
      <c r="G68" s="87"/>
      <c r="H68" s="87"/>
    </row>
    <row r="69">
      <c r="G69" s="87"/>
      <c r="H69" s="87"/>
    </row>
    <row r="70">
      <c r="G70" s="87"/>
      <c r="H70" s="87"/>
    </row>
    <row r="71">
      <c r="G71" s="87"/>
      <c r="H71" s="87"/>
    </row>
    <row r="72">
      <c r="G72" s="87"/>
      <c r="H72" s="87"/>
    </row>
    <row r="73">
      <c r="G73" s="87"/>
      <c r="H73" s="87"/>
    </row>
    <row r="74">
      <c r="G74" s="87"/>
      <c r="H74" s="87"/>
    </row>
    <row r="75">
      <c r="G75" s="87"/>
      <c r="H75" s="87"/>
    </row>
    <row r="76">
      <c r="G76" s="87"/>
      <c r="H76" s="87"/>
    </row>
    <row r="77">
      <c r="G77" s="87"/>
      <c r="H77" s="87"/>
    </row>
    <row r="78">
      <c r="G78" s="87"/>
      <c r="H78" s="87"/>
    </row>
    <row r="79">
      <c r="G79" s="87"/>
      <c r="H79" s="87"/>
    </row>
    <row r="80">
      <c r="G80" s="87"/>
      <c r="H80" s="87"/>
    </row>
    <row r="81">
      <c r="G81" s="87"/>
      <c r="H81" s="87"/>
    </row>
    <row r="82">
      <c r="G82" s="87"/>
      <c r="H82" s="87"/>
    </row>
    <row r="83">
      <c r="G83" s="87"/>
      <c r="H83" s="87"/>
    </row>
    <row r="84">
      <c r="G84" s="87"/>
      <c r="H84" s="87"/>
    </row>
    <row r="85">
      <c r="G85" s="87"/>
      <c r="H85" s="87"/>
    </row>
    <row r="86">
      <c r="G86" s="87"/>
      <c r="H86" s="87"/>
    </row>
    <row r="87">
      <c r="G87" s="87"/>
      <c r="H87" s="87"/>
    </row>
    <row r="88">
      <c r="G88" s="87"/>
      <c r="H88" s="87"/>
    </row>
    <row r="89">
      <c r="G89" s="87"/>
      <c r="H89" s="87"/>
    </row>
    <row r="90">
      <c r="G90" s="87"/>
      <c r="H90" s="87"/>
    </row>
    <row r="91">
      <c r="G91" s="87"/>
      <c r="H91" s="87"/>
    </row>
    <row r="92">
      <c r="G92" s="87"/>
      <c r="H92" s="87"/>
    </row>
    <row r="93">
      <c r="G93" s="87"/>
      <c r="H93" s="87"/>
    </row>
    <row r="94">
      <c r="G94" s="87"/>
      <c r="H94" s="87"/>
    </row>
    <row r="95">
      <c r="G95" s="87"/>
      <c r="H95" s="87"/>
    </row>
    <row r="96">
      <c r="G96" s="87"/>
      <c r="H96" s="87"/>
    </row>
    <row r="97">
      <c r="G97" s="87"/>
      <c r="H97" s="87"/>
    </row>
    <row r="98">
      <c r="G98" s="87"/>
      <c r="H98" s="87"/>
    </row>
    <row r="99">
      <c r="G99" s="87"/>
      <c r="H99" s="87"/>
    </row>
    <row r="100">
      <c r="G100" s="87"/>
      <c r="H100" s="87"/>
    </row>
    <row r="101">
      <c r="G101" s="87"/>
      <c r="H101" s="87"/>
    </row>
    <row r="102">
      <c r="G102" s="87"/>
      <c r="H102" s="87"/>
    </row>
    <row r="103">
      <c r="G103" s="87"/>
      <c r="H103" s="87"/>
    </row>
    <row r="104">
      <c r="G104" s="87"/>
      <c r="H104" s="87"/>
    </row>
    <row r="105">
      <c r="G105" s="87"/>
      <c r="H105" s="87"/>
    </row>
    <row r="106">
      <c r="G106" s="87"/>
      <c r="H106" s="87"/>
    </row>
    <row r="107">
      <c r="G107" s="87"/>
      <c r="H107" s="87"/>
    </row>
    <row r="108">
      <c r="G108" s="87"/>
      <c r="H108" s="87"/>
    </row>
    <row r="109">
      <c r="G109" s="87"/>
      <c r="H109" s="87"/>
    </row>
    <row r="110">
      <c r="G110" s="87"/>
      <c r="H110" s="87"/>
    </row>
    <row r="111">
      <c r="G111" s="87"/>
      <c r="H111" s="87"/>
    </row>
    <row r="112">
      <c r="G112" s="87"/>
      <c r="H112" s="87"/>
    </row>
    <row r="113">
      <c r="G113" s="87"/>
      <c r="H113" s="87"/>
    </row>
    <row r="114">
      <c r="G114" s="87"/>
      <c r="H114" s="87"/>
    </row>
    <row r="115">
      <c r="G115" s="87"/>
      <c r="H115" s="87"/>
    </row>
    <row r="116">
      <c r="G116" s="87"/>
      <c r="H116" s="87"/>
    </row>
    <row r="117">
      <c r="G117" s="87"/>
      <c r="H117" s="87"/>
    </row>
    <row r="118">
      <c r="G118" s="87"/>
      <c r="H118" s="87"/>
    </row>
    <row r="119">
      <c r="G119" s="87"/>
      <c r="H119" s="87"/>
    </row>
    <row r="120">
      <c r="G120" s="87"/>
      <c r="H120" s="87"/>
    </row>
    <row r="121">
      <c r="G121" s="87"/>
      <c r="H121" s="87"/>
    </row>
    <row r="122">
      <c r="G122" s="87"/>
      <c r="H122" s="87"/>
    </row>
    <row r="123">
      <c r="G123" s="87"/>
      <c r="H123" s="87"/>
    </row>
    <row r="124">
      <c r="G124" s="87"/>
      <c r="H124" s="87"/>
    </row>
    <row r="125">
      <c r="G125" s="87"/>
      <c r="H125" s="87"/>
    </row>
    <row r="126">
      <c r="G126" s="87"/>
      <c r="H126" s="87"/>
    </row>
    <row r="127">
      <c r="G127" s="87"/>
      <c r="H127" s="87"/>
    </row>
    <row r="128">
      <c r="G128" s="87"/>
      <c r="H128" s="87"/>
    </row>
    <row r="129">
      <c r="G129" s="87"/>
      <c r="H129" s="87"/>
    </row>
    <row r="130">
      <c r="G130" s="87"/>
      <c r="H130" s="87"/>
    </row>
    <row r="131">
      <c r="G131" s="87"/>
      <c r="H131" s="87"/>
    </row>
    <row r="132">
      <c r="G132" s="87"/>
      <c r="H132" s="87"/>
    </row>
    <row r="133">
      <c r="G133" s="87"/>
      <c r="H133" s="87"/>
    </row>
    <row r="134">
      <c r="G134" s="87"/>
      <c r="H134" s="87"/>
    </row>
    <row r="135">
      <c r="G135" s="87"/>
      <c r="H135" s="87"/>
    </row>
    <row r="136">
      <c r="G136" s="87"/>
      <c r="H136" s="87"/>
    </row>
    <row r="137">
      <c r="G137" s="87"/>
      <c r="H137" s="87"/>
    </row>
    <row r="138">
      <c r="G138" s="87"/>
      <c r="H138" s="87"/>
    </row>
    <row r="139">
      <c r="G139" s="87"/>
      <c r="H139" s="87"/>
    </row>
    <row r="140">
      <c r="G140" s="87"/>
      <c r="H140" s="87"/>
    </row>
    <row r="141">
      <c r="G141" s="87"/>
      <c r="H141" s="87"/>
    </row>
    <row r="142">
      <c r="G142" s="87"/>
      <c r="H142" s="87"/>
    </row>
    <row r="143">
      <c r="G143" s="87"/>
      <c r="H143" s="87"/>
    </row>
    <row r="144">
      <c r="G144" s="87"/>
      <c r="H144" s="87"/>
    </row>
    <row r="145">
      <c r="G145" s="87"/>
      <c r="H145" s="87"/>
    </row>
    <row r="146">
      <c r="G146" s="87"/>
      <c r="H146" s="87"/>
    </row>
    <row r="147">
      <c r="G147" s="87"/>
      <c r="H147" s="87"/>
    </row>
    <row r="148">
      <c r="G148" s="87"/>
      <c r="H148" s="87"/>
    </row>
    <row r="149">
      <c r="G149" s="87"/>
      <c r="H149" s="87"/>
    </row>
    <row r="150">
      <c r="G150" s="87"/>
      <c r="H150" s="87"/>
    </row>
    <row r="151">
      <c r="G151" s="87"/>
      <c r="H151" s="87"/>
    </row>
    <row r="152">
      <c r="G152" s="87"/>
      <c r="H152" s="87"/>
    </row>
    <row r="153">
      <c r="G153" s="87"/>
      <c r="H153" s="87"/>
    </row>
    <row r="154">
      <c r="G154" s="87"/>
      <c r="H154" s="87"/>
    </row>
    <row r="155">
      <c r="G155" s="87"/>
      <c r="H155" s="87"/>
    </row>
    <row r="156">
      <c r="G156" s="87"/>
      <c r="H156" s="87"/>
    </row>
    <row r="157">
      <c r="G157" s="87"/>
      <c r="H157" s="87"/>
    </row>
    <row r="158">
      <c r="G158" s="87"/>
      <c r="H158" s="87"/>
    </row>
    <row r="159">
      <c r="G159" s="87"/>
      <c r="H159" s="87"/>
    </row>
    <row r="160">
      <c r="G160" s="87"/>
      <c r="H160" s="87"/>
    </row>
    <row r="161">
      <c r="G161" s="87"/>
      <c r="H161" s="87"/>
    </row>
    <row r="162">
      <c r="G162" s="87"/>
      <c r="H162" s="87"/>
    </row>
    <row r="163">
      <c r="G163" s="87"/>
      <c r="H163" s="87"/>
    </row>
    <row r="164">
      <c r="G164" s="87"/>
      <c r="H164" s="87"/>
    </row>
    <row r="165">
      <c r="G165" s="87"/>
      <c r="H165" s="87"/>
    </row>
    <row r="166">
      <c r="G166" s="87"/>
      <c r="H166" s="87"/>
    </row>
    <row r="167">
      <c r="G167" s="87"/>
      <c r="H167" s="87"/>
    </row>
    <row r="168">
      <c r="G168" s="87"/>
      <c r="H168" s="87"/>
    </row>
    <row r="169">
      <c r="G169" s="87"/>
      <c r="H169" s="87"/>
    </row>
    <row r="170">
      <c r="G170" s="87"/>
      <c r="H170" s="87"/>
    </row>
    <row r="171">
      <c r="G171" s="87"/>
      <c r="H171" s="87"/>
    </row>
    <row r="172">
      <c r="G172" s="87"/>
      <c r="H172" s="87"/>
    </row>
    <row r="173">
      <c r="G173" s="87"/>
      <c r="H173" s="87"/>
    </row>
    <row r="174">
      <c r="G174" s="87"/>
      <c r="H174" s="87"/>
    </row>
    <row r="175">
      <c r="G175" s="87"/>
      <c r="H175" s="87"/>
    </row>
    <row r="176">
      <c r="G176" s="87"/>
      <c r="H176" s="87"/>
    </row>
    <row r="177">
      <c r="G177" s="87"/>
      <c r="H177" s="87"/>
    </row>
    <row r="178">
      <c r="G178" s="87"/>
      <c r="H178" s="87"/>
    </row>
    <row r="179">
      <c r="G179" s="87"/>
      <c r="H179" s="87"/>
    </row>
    <row r="180">
      <c r="G180" s="87"/>
      <c r="H180" s="87"/>
    </row>
    <row r="181">
      <c r="G181" s="87"/>
      <c r="H181" s="87"/>
    </row>
    <row r="182">
      <c r="G182" s="87"/>
      <c r="H182" s="87"/>
    </row>
    <row r="183">
      <c r="G183" s="87"/>
      <c r="H183" s="87"/>
    </row>
    <row r="184">
      <c r="G184" s="87"/>
      <c r="H184" s="87"/>
    </row>
    <row r="185">
      <c r="G185" s="87"/>
      <c r="H185" s="87"/>
    </row>
    <row r="186">
      <c r="G186" s="87"/>
      <c r="H186" s="87"/>
    </row>
    <row r="187">
      <c r="G187" s="87"/>
      <c r="H187" s="87"/>
    </row>
    <row r="188">
      <c r="G188" s="87"/>
      <c r="H188" s="87"/>
    </row>
    <row r="189">
      <c r="G189" s="87"/>
      <c r="H189" s="87"/>
    </row>
    <row r="190">
      <c r="G190" s="87"/>
      <c r="H190" s="87"/>
    </row>
    <row r="191">
      <c r="G191" s="87"/>
      <c r="H191" s="87"/>
    </row>
    <row r="192">
      <c r="G192" s="87"/>
      <c r="H192" s="87"/>
    </row>
    <row r="193">
      <c r="G193" s="87"/>
      <c r="H193" s="87"/>
    </row>
    <row r="194">
      <c r="G194" s="87"/>
      <c r="H194" s="87"/>
    </row>
    <row r="195">
      <c r="G195" s="87"/>
      <c r="H195" s="87"/>
    </row>
    <row r="196">
      <c r="G196" s="87"/>
      <c r="H196" s="87"/>
    </row>
    <row r="197">
      <c r="G197" s="87"/>
      <c r="H197" s="87"/>
    </row>
    <row r="198">
      <c r="G198" s="87"/>
      <c r="H198" s="87"/>
    </row>
    <row r="199">
      <c r="G199" s="87"/>
      <c r="H199" s="87"/>
    </row>
    <row r="200">
      <c r="G200" s="87"/>
      <c r="H200" s="87"/>
    </row>
    <row r="201">
      <c r="G201" s="87"/>
      <c r="H201" s="87"/>
    </row>
    <row r="202">
      <c r="G202" s="87"/>
      <c r="H202" s="87"/>
    </row>
    <row r="203">
      <c r="G203" s="87"/>
      <c r="H203" s="87"/>
    </row>
    <row r="204">
      <c r="G204" s="87"/>
      <c r="H204" s="87"/>
    </row>
    <row r="205">
      <c r="G205" s="87"/>
      <c r="H205" s="87"/>
    </row>
    <row r="206">
      <c r="G206" s="87"/>
      <c r="H206" s="87"/>
    </row>
    <row r="207">
      <c r="G207" s="87"/>
      <c r="H207" s="87"/>
    </row>
    <row r="208">
      <c r="G208" s="87"/>
      <c r="H208" s="87"/>
    </row>
    <row r="209">
      <c r="G209" s="87"/>
      <c r="H209" s="87"/>
    </row>
    <row r="210">
      <c r="G210" s="87"/>
      <c r="H210" s="87"/>
    </row>
    <row r="211">
      <c r="G211" s="87"/>
      <c r="H211" s="87"/>
    </row>
    <row r="212">
      <c r="G212" s="87"/>
      <c r="H212" s="87"/>
    </row>
    <row r="213">
      <c r="G213" s="87"/>
      <c r="H213" s="87"/>
    </row>
    <row r="214">
      <c r="G214" s="87"/>
      <c r="H214" s="87"/>
    </row>
    <row r="215">
      <c r="G215" s="87"/>
      <c r="H215" s="87"/>
    </row>
    <row r="216">
      <c r="G216" s="87"/>
      <c r="H216" s="87"/>
    </row>
    <row r="217">
      <c r="G217" s="87"/>
      <c r="H217" s="87"/>
    </row>
    <row r="218">
      <c r="G218" s="87"/>
      <c r="H218" s="87"/>
    </row>
    <row r="219">
      <c r="G219" s="87"/>
      <c r="H219" s="87"/>
    </row>
    <row r="220">
      <c r="G220" s="87"/>
      <c r="H220" s="87"/>
    </row>
    <row r="221">
      <c r="G221" s="87"/>
      <c r="H221" s="87"/>
    </row>
    <row r="222">
      <c r="G222" s="87"/>
      <c r="H222" s="87"/>
    </row>
    <row r="223">
      <c r="G223" s="87"/>
      <c r="H223" s="87"/>
    </row>
    <row r="224">
      <c r="G224" s="87"/>
      <c r="H224" s="87"/>
    </row>
    <row r="225">
      <c r="G225" s="87"/>
      <c r="H225" s="87"/>
    </row>
    <row r="226">
      <c r="G226" s="87"/>
      <c r="H226" s="87"/>
    </row>
    <row r="227">
      <c r="G227" s="87"/>
      <c r="H227" s="87"/>
    </row>
    <row r="228">
      <c r="G228" s="87"/>
      <c r="H228" s="87"/>
    </row>
    <row r="229">
      <c r="G229" s="87"/>
      <c r="H229" s="87"/>
    </row>
    <row r="230">
      <c r="G230" s="87"/>
      <c r="H230" s="87"/>
    </row>
    <row r="231">
      <c r="G231" s="87"/>
      <c r="H231" s="87"/>
    </row>
    <row r="232">
      <c r="G232" s="87"/>
      <c r="H232" s="87"/>
    </row>
    <row r="233">
      <c r="G233" s="87"/>
      <c r="H233" s="87"/>
    </row>
    <row r="234">
      <c r="G234" s="87"/>
      <c r="H234" s="87"/>
    </row>
    <row r="235">
      <c r="G235" s="87"/>
      <c r="H235" s="87"/>
    </row>
    <row r="236">
      <c r="G236" s="87"/>
      <c r="H236" s="87"/>
    </row>
    <row r="237">
      <c r="G237" s="87"/>
      <c r="H237" s="87"/>
    </row>
    <row r="238">
      <c r="G238" s="87"/>
      <c r="H238" s="87"/>
    </row>
    <row r="239">
      <c r="G239" s="87"/>
      <c r="H239" s="87"/>
    </row>
    <row r="240">
      <c r="G240" s="87"/>
      <c r="H240" s="87"/>
    </row>
    <row r="241">
      <c r="G241" s="87"/>
      <c r="H241" s="87"/>
    </row>
    <row r="242">
      <c r="G242" s="87"/>
      <c r="H242" s="87"/>
    </row>
    <row r="243">
      <c r="G243" s="87"/>
      <c r="H243" s="87"/>
    </row>
    <row r="244">
      <c r="G244" s="87"/>
      <c r="H244" s="87"/>
    </row>
    <row r="245">
      <c r="G245" s="87"/>
      <c r="H245" s="87"/>
    </row>
    <row r="246">
      <c r="G246" s="87"/>
      <c r="H246" s="87"/>
    </row>
    <row r="247">
      <c r="G247" s="87"/>
      <c r="H247" s="87"/>
    </row>
    <row r="248">
      <c r="G248" s="87"/>
      <c r="H248" s="87"/>
    </row>
    <row r="249">
      <c r="G249" s="87"/>
      <c r="H249" s="87"/>
    </row>
    <row r="250">
      <c r="G250" s="87"/>
      <c r="H250" s="87"/>
    </row>
    <row r="251">
      <c r="G251" s="87"/>
      <c r="H251" s="87"/>
    </row>
    <row r="252">
      <c r="G252" s="87"/>
      <c r="H252" s="87"/>
    </row>
    <row r="253">
      <c r="G253" s="87"/>
      <c r="H253" s="87"/>
    </row>
    <row r="254">
      <c r="G254" s="87"/>
      <c r="H254" s="87"/>
    </row>
    <row r="255">
      <c r="G255" s="87"/>
      <c r="H255" s="87"/>
    </row>
    <row r="256">
      <c r="G256" s="87"/>
      <c r="H256" s="87"/>
    </row>
    <row r="257">
      <c r="G257" s="87"/>
      <c r="H257" s="87"/>
    </row>
    <row r="258">
      <c r="G258" s="87"/>
      <c r="H258" s="87"/>
    </row>
    <row r="259">
      <c r="G259" s="87"/>
      <c r="H259" s="87"/>
    </row>
    <row r="260">
      <c r="G260" s="87"/>
      <c r="H260" s="87"/>
    </row>
    <row r="261">
      <c r="G261" s="87"/>
      <c r="H261" s="87"/>
    </row>
    <row r="262">
      <c r="G262" s="87"/>
      <c r="H262" s="87"/>
    </row>
    <row r="263">
      <c r="G263" s="87"/>
      <c r="H263" s="87"/>
    </row>
    <row r="264">
      <c r="G264" s="87"/>
      <c r="H264" s="87"/>
    </row>
    <row r="265">
      <c r="G265" s="87"/>
      <c r="H265" s="87"/>
    </row>
    <row r="266">
      <c r="G266" s="87"/>
      <c r="H266" s="87"/>
    </row>
    <row r="267">
      <c r="G267" s="87"/>
      <c r="H267" s="87"/>
    </row>
    <row r="268">
      <c r="G268" s="87"/>
      <c r="H268" s="87"/>
    </row>
    <row r="269">
      <c r="G269" s="87"/>
      <c r="H269" s="87"/>
    </row>
    <row r="270">
      <c r="G270" s="87"/>
      <c r="H270" s="87"/>
    </row>
    <row r="271">
      <c r="G271" s="87"/>
      <c r="H271" s="87"/>
    </row>
    <row r="272">
      <c r="G272" s="87"/>
      <c r="H272" s="87"/>
    </row>
    <row r="273">
      <c r="G273" s="87"/>
      <c r="H273" s="87"/>
    </row>
    <row r="274">
      <c r="G274" s="87"/>
      <c r="H274" s="87"/>
    </row>
    <row r="275">
      <c r="G275" s="87"/>
      <c r="H275" s="87"/>
    </row>
    <row r="276">
      <c r="G276" s="87"/>
      <c r="H276" s="87"/>
    </row>
    <row r="277">
      <c r="G277" s="87"/>
      <c r="H277" s="87"/>
    </row>
    <row r="278">
      <c r="G278" s="87"/>
      <c r="H278" s="87"/>
    </row>
    <row r="279">
      <c r="G279" s="87"/>
      <c r="H279" s="87"/>
    </row>
    <row r="280">
      <c r="G280" s="87"/>
      <c r="H280" s="87"/>
    </row>
    <row r="281">
      <c r="G281" s="87"/>
      <c r="H281" s="87"/>
    </row>
    <row r="282">
      <c r="G282" s="87"/>
      <c r="H282" s="87"/>
    </row>
    <row r="283">
      <c r="G283" s="87"/>
      <c r="H283" s="87"/>
    </row>
    <row r="284">
      <c r="G284" s="87"/>
      <c r="H284" s="87"/>
    </row>
    <row r="285">
      <c r="G285" s="87"/>
      <c r="H285" s="87"/>
    </row>
    <row r="286">
      <c r="G286" s="87"/>
      <c r="H286" s="87"/>
    </row>
    <row r="287">
      <c r="G287" s="87"/>
      <c r="H287" s="87"/>
    </row>
    <row r="288">
      <c r="G288" s="87"/>
      <c r="H288" s="87"/>
    </row>
    <row r="289">
      <c r="G289" s="87"/>
      <c r="H289" s="87"/>
    </row>
    <row r="290">
      <c r="G290" s="87"/>
      <c r="H290" s="87"/>
    </row>
    <row r="291">
      <c r="G291" s="87"/>
      <c r="H291" s="87"/>
    </row>
    <row r="292">
      <c r="G292" s="87"/>
      <c r="H292" s="87"/>
    </row>
    <row r="293">
      <c r="G293" s="87"/>
      <c r="H293" s="87"/>
    </row>
    <row r="294">
      <c r="G294" s="87"/>
      <c r="H294" s="87"/>
    </row>
    <row r="295">
      <c r="G295" s="87"/>
      <c r="H295" s="87"/>
    </row>
    <row r="296">
      <c r="G296" s="87"/>
      <c r="H296" s="87"/>
    </row>
    <row r="297">
      <c r="G297" s="87"/>
      <c r="H297" s="87"/>
    </row>
    <row r="298">
      <c r="G298" s="87"/>
      <c r="H298" s="87"/>
    </row>
    <row r="299">
      <c r="G299" s="87"/>
      <c r="H299" s="87"/>
    </row>
    <row r="300">
      <c r="G300" s="87"/>
      <c r="H300" s="87"/>
    </row>
    <row r="301">
      <c r="G301" s="87"/>
      <c r="H301" s="87"/>
    </row>
    <row r="302">
      <c r="G302" s="87"/>
      <c r="H302" s="87"/>
    </row>
    <row r="303">
      <c r="G303" s="87"/>
      <c r="H303" s="87"/>
    </row>
    <row r="304">
      <c r="G304" s="87"/>
      <c r="H304" s="87"/>
    </row>
    <row r="305">
      <c r="G305" s="87"/>
      <c r="H305" s="87"/>
    </row>
    <row r="306">
      <c r="G306" s="87"/>
      <c r="H306" s="87"/>
    </row>
    <row r="307">
      <c r="G307" s="87"/>
      <c r="H307" s="87"/>
    </row>
    <row r="308">
      <c r="G308" s="87"/>
      <c r="H308" s="87"/>
    </row>
    <row r="309">
      <c r="G309" s="87"/>
      <c r="H309" s="87"/>
    </row>
    <row r="310">
      <c r="G310" s="87"/>
      <c r="H310" s="87"/>
    </row>
    <row r="311">
      <c r="G311" s="87"/>
      <c r="H311" s="87"/>
    </row>
    <row r="312">
      <c r="G312" s="87"/>
      <c r="H312" s="87"/>
    </row>
    <row r="313">
      <c r="G313" s="87"/>
      <c r="H313" s="87"/>
    </row>
    <row r="314">
      <c r="G314" s="87"/>
      <c r="H314" s="87"/>
    </row>
    <row r="315">
      <c r="G315" s="87"/>
      <c r="H315" s="87"/>
    </row>
    <row r="316">
      <c r="G316" s="87"/>
      <c r="H316" s="87"/>
    </row>
    <row r="317">
      <c r="G317" s="87"/>
      <c r="H317" s="87"/>
    </row>
    <row r="318">
      <c r="G318" s="87"/>
      <c r="H318" s="87"/>
    </row>
    <row r="319">
      <c r="G319" s="87"/>
      <c r="H319" s="87"/>
    </row>
    <row r="320">
      <c r="G320" s="87"/>
      <c r="H320" s="87"/>
    </row>
    <row r="321">
      <c r="G321" s="87"/>
      <c r="H321" s="87"/>
    </row>
    <row r="322">
      <c r="G322" s="87"/>
      <c r="H322" s="87"/>
    </row>
    <row r="323">
      <c r="G323" s="87"/>
      <c r="H323" s="87"/>
    </row>
    <row r="324">
      <c r="G324" s="87"/>
      <c r="H324" s="87"/>
    </row>
    <row r="325">
      <c r="G325" s="87"/>
      <c r="H325" s="87"/>
    </row>
    <row r="326">
      <c r="G326" s="87"/>
      <c r="H326" s="87"/>
    </row>
    <row r="327">
      <c r="G327" s="87"/>
      <c r="H327" s="87"/>
    </row>
    <row r="328">
      <c r="G328" s="87"/>
      <c r="H328" s="87"/>
    </row>
    <row r="329">
      <c r="G329" s="87"/>
      <c r="H329" s="87"/>
    </row>
    <row r="330">
      <c r="G330" s="87"/>
      <c r="H330" s="87"/>
    </row>
    <row r="331">
      <c r="G331" s="87"/>
      <c r="H331" s="87"/>
    </row>
    <row r="332">
      <c r="G332" s="87"/>
      <c r="H332" s="87"/>
    </row>
    <row r="333">
      <c r="G333" s="87"/>
      <c r="H333" s="87"/>
    </row>
    <row r="334">
      <c r="G334" s="87"/>
      <c r="H334" s="87"/>
    </row>
    <row r="335">
      <c r="G335" s="87"/>
      <c r="H335" s="87"/>
    </row>
    <row r="336">
      <c r="G336" s="87"/>
      <c r="H336" s="87"/>
    </row>
    <row r="337">
      <c r="G337" s="87"/>
      <c r="H337" s="87"/>
    </row>
    <row r="338">
      <c r="G338" s="87"/>
      <c r="H338" s="87"/>
    </row>
    <row r="339">
      <c r="G339" s="87"/>
      <c r="H339" s="87"/>
    </row>
    <row r="340">
      <c r="G340" s="87"/>
      <c r="H340" s="87"/>
    </row>
    <row r="341">
      <c r="G341" s="87"/>
      <c r="H341" s="87"/>
    </row>
    <row r="342">
      <c r="G342" s="87"/>
      <c r="H342" s="87"/>
    </row>
    <row r="343">
      <c r="G343" s="87"/>
      <c r="H343" s="87"/>
    </row>
    <row r="344">
      <c r="G344" s="87"/>
      <c r="H344" s="87"/>
    </row>
    <row r="345">
      <c r="G345" s="87"/>
      <c r="H345" s="87"/>
    </row>
    <row r="346">
      <c r="G346" s="87"/>
      <c r="H346" s="87"/>
    </row>
    <row r="347">
      <c r="G347" s="87"/>
      <c r="H347" s="87"/>
    </row>
    <row r="348">
      <c r="G348" s="87"/>
      <c r="H348" s="87"/>
    </row>
    <row r="349">
      <c r="G349" s="87"/>
      <c r="H349" s="87"/>
    </row>
    <row r="350">
      <c r="G350" s="87"/>
      <c r="H350" s="87"/>
    </row>
    <row r="351">
      <c r="G351" s="87"/>
      <c r="H351" s="87"/>
    </row>
    <row r="352">
      <c r="G352" s="87"/>
      <c r="H352" s="87"/>
    </row>
    <row r="353">
      <c r="G353" s="87"/>
      <c r="H353" s="87"/>
    </row>
    <row r="354">
      <c r="G354" s="87"/>
      <c r="H354" s="87"/>
    </row>
    <row r="355">
      <c r="G355" s="87"/>
      <c r="H355" s="87"/>
    </row>
    <row r="356">
      <c r="G356" s="87"/>
      <c r="H356" s="87"/>
    </row>
    <row r="357">
      <c r="G357" s="87"/>
      <c r="H357" s="87"/>
    </row>
    <row r="358">
      <c r="G358" s="87"/>
      <c r="H358" s="87"/>
    </row>
    <row r="359">
      <c r="G359" s="87"/>
      <c r="H359" s="87"/>
    </row>
    <row r="360">
      <c r="G360" s="87"/>
      <c r="H360" s="87"/>
    </row>
    <row r="361">
      <c r="G361" s="87"/>
      <c r="H361" s="87"/>
    </row>
    <row r="362">
      <c r="G362" s="87"/>
      <c r="H362" s="87"/>
    </row>
    <row r="363">
      <c r="G363" s="87"/>
      <c r="H363" s="87"/>
    </row>
    <row r="364">
      <c r="G364" s="87"/>
      <c r="H364" s="87"/>
    </row>
    <row r="365">
      <c r="G365" s="87"/>
      <c r="H365" s="87"/>
    </row>
    <row r="366">
      <c r="G366" s="87"/>
      <c r="H366" s="87"/>
    </row>
    <row r="367">
      <c r="G367" s="87"/>
      <c r="H367" s="87"/>
    </row>
    <row r="368">
      <c r="G368" s="87"/>
      <c r="H368" s="87"/>
    </row>
    <row r="369">
      <c r="G369" s="87"/>
      <c r="H369" s="87"/>
    </row>
    <row r="370">
      <c r="G370" s="87"/>
      <c r="H370" s="87"/>
    </row>
    <row r="371">
      <c r="G371" s="87"/>
      <c r="H371" s="87"/>
    </row>
    <row r="372">
      <c r="G372" s="87"/>
      <c r="H372" s="87"/>
    </row>
    <row r="373">
      <c r="G373" s="87"/>
      <c r="H373" s="87"/>
    </row>
    <row r="374">
      <c r="G374" s="87"/>
      <c r="H374" s="87"/>
    </row>
    <row r="375">
      <c r="G375" s="87"/>
      <c r="H375" s="87"/>
    </row>
    <row r="376">
      <c r="G376" s="87"/>
      <c r="H376" s="87"/>
    </row>
    <row r="377">
      <c r="G377" s="87"/>
      <c r="H377" s="87"/>
    </row>
    <row r="378">
      <c r="G378" s="87"/>
      <c r="H378" s="87"/>
    </row>
    <row r="379">
      <c r="G379" s="87"/>
      <c r="H379" s="87"/>
    </row>
    <row r="380">
      <c r="G380" s="87"/>
      <c r="H380" s="87"/>
    </row>
    <row r="381">
      <c r="G381" s="87"/>
      <c r="H381" s="87"/>
    </row>
    <row r="382">
      <c r="G382" s="87"/>
      <c r="H382" s="87"/>
    </row>
    <row r="383">
      <c r="G383" s="87"/>
      <c r="H383" s="87"/>
    </row>
    <row r="384">
      <c r="G384" s="87"/>
      <c r="H384" s="87"/>
    </row>
    <row r="385">
      <c r="G385" s="87"/>
      <c r="H385" s="87"/>
    </row>
    <row r="386">
      <c r="G386" s="87"/>
      <c r="H386" s="87"/>
    </row>
    <row r="387">
      <c r="G387" s="87"/>
      <c r="H387" s="87"/>
    </row>
    <row r="388">
      <c r="G388" s="87"/>
      <c r="H388" s="87"/>
    </row>
    <row r="389">
      <c r="G389" s="87"/>
      <c r="H389" s="87"/>
    </row>
    <row r="390">
      <c r="G390" s="87"/>
      <c r="H390" s="87"/>
    </row>
    <row r="391">
      <c r="G391" s="87"/>
      <c r="H391" s="87"/>
    </row>
    <row r="392">
      <c r="G392" s="87"/>
      <c r="H392" s="87"/>
    </row>
    <row r="393">
      <c r="G393" s="87"/>
      <c r="H393" s="87"/>
    </row>
    <row r="394">
      <c r="G394" s="87"/>
      <c r="H394" s="87"/>
    </row>
    <row r="395">
      <c r="G395" s="87"/>
      <c r="H395" s="87"/>
    </row>
    <row r="396">
      <c r="G396" s="87"/>
      <c r="H396" s="87"/>
    </row>
    <row r="397">
      <c r="G397" s="87"/>
      <c r="H397" s="87"/>
    </row>
    <row r="398">
      <c r="G398" s="87"/>
      <c r="H398" s="87"/>
    </row>
    <row r="399">
      <c r="G399" s="87"/>
      <c r="H399" s="87"/>
    </row>
    <row r="400">
      <c r="G400" s="87"/>
      <c r="H400" s="87"/>
    </row>
    <row r="401">
      <c r="G401" s="87"/>
      <c r="H401" s="87"/>
    </row>
    <row r="402">
      <c r="G402" s="87"/>
      <c r="H402" s="87"/>
    </row>
    <row r="403">
      <c r="G403" s="87"/>
      <c r="H403" s="87"/>
    </row>
    <row r="404">
      <c r="G404" s="87"/>
      <c r="H404" s="87"/>
    </row>
    <row r="405">
      <c r="G405" s="87"/>
      <c r="H405" s="87"/>
    </row>
    <row r="406">
      <c r="G406" s="87"/>
      <c r="H406" s="87"/>
    </row>
    <row r="407">
      <c r="G407" s="87"/>
      <c r="H407" s="87"/>
    </row>
    <row r="408">
      <c r="G408" s="87"/>
      <c r="H408" s="87"/>
    </row>
    <row r="409">
      <c r="G409" s="87"/>
      <c r="H409" s="87"/>
    </row>
    <row r="410">
      <c r="G410" s="87"/>
      <c r="H410" s="87"/>
    </row>
    <row r="411">
      <c r="G411" s="87"/>
      <c r="H411" s="87"/>
    </row>
    <row r="412">
      <c r="G412" s="87"/>
      <c r="H412" s="87"/>
    </row>
    <row r="413">
      <c r="G413" s="87"/>
      <c r="H413" s="87"/>
    </row>
    <row r="414">
      <c r="G414" s="87"/>
      <c r="H414" s="87"/>
    </row>
    <row r="415">
      <c r="G415" s="87"/>
      <c r="H415" s="87"/>
    </row>
    <row r="416">
      <c r="G416" s="87"/>
      <c r="H416" s="87"/>
    </row>
    <row r="417">
      <c r="G417" s="87"/>
      <c r="H417" s="87"/>
    </row>
    <row r="418">
      <c r="G418" s="87"/>
      <c r="H418" s="87"/>
    </row>
    <row r="419">
      <c r="G419" s="87"/>
      <c r="H419" s="87"/>
    </row>
    <row r="420">
      <c r="G420" s="87"/>
      <c r="H420" s="87"/>
    </row>
    <row r="421">
      <c r="G421" s="87"/>
      <c r="H421" s="87"/>
    </row>
    <row r="422">
      <c r="G422" s="87"/>
      <c r="H422" s="87"/>
    </row>
    <row r="423">
      <c r="G423" s="87"/>
      <c r="H423" s="87"/>
    </row>
    <row r="424">
      <c r="G424" s="87"/>
      <c r="H424" s="87"/>
    </row>
    <row r="425">
      <c r="G425" s="87"/>
      <c r="H425" s="87"/>
    </row>
    <row r="426">
      <c r="G426" s="87"/>
      <c r="H426" s="87"/>
    </row>
    <row r="427">
      <c r="G427" s="87"/>
      <c r="H427" s="87"/>
    </row>
    <row r="428">
      <c r="G428" s="87"/>
      <c r="H428" s="87"/>
    </row>
    <row r="429">
      <c r="G429" s="87"/>
      <c r="H429" s="87"/>
    </row>
    <row r="430">
      <c r="G430" s="87"/>
      <c r="H430" s="87"/>
    </row>
    <row r="431">
      <c r="G431" s="87"/>
      <c r="H431" s="87"/>
    </row>
    <row r="432">
      <c r="G432" s="87"/>
      <c r="H432" s="87"/>
    </row>
    <row r="433">
      <c r="G433" s="87"/>
      <c r="H433" s="87"/>
    </row>
    <row r="434">
      <c r="G434" s="87"/>
      <c r="H434" s="87"/>
    </row>
    <row r="435">
      <c r="G435" s="87"/>
      <c r="H435" s="87"/>
    </row>
    <row r="436">
      <c r="G436" s="87"/>
      <c r="H436" s="87"/>
    </row>
    <row r="437">
      <c r="G437" s="87"/>
      <c r="H437" s="87"/>
    </row>
    <row r="438">
      <c r="G438" s="87"/>
      <c r="H438" s="87"/>
    </row>
    <row r="439">
      <c r="G439" s="87"/>
      <c r="H439" s="87"/>
    </row>
    <row r="440">
      <c r="G440" s="87"/>
      <c r="H440" s="87"/>
    </row>
    <row r="441">
      <c r="G441" s="87"/>
      <c r="H441" s="87"/>
    </row>
    <row r="442">
      <c r="G442" s="87"/>
      <c r="H442" s="87"/>
    </row>
    <row r="443">
      <c r="G443" s="87"/>
      <c r="H443" s="87"/>
    </row>
    <row r="444">
      <c r="G444" s="87"/>
      <c r="H444" s="87"/>
    </row>
    <row r="445">
      <c r="G445" s="87"/>
      <c r="H445" s="87"/>
    </row>
    <row r="446">
      <c r="G446" s="87"/>
      <c r="H446" s="87"/>
    </row>
    <row r="447">
      <c r="G447" s="87"/>
      <c r="H447" s="87"/>
    </row>
    <row r="448">
      <c r="G448" s="87"/>
      <c r="H448" s="87"/>
    </row>
    <row r="449">
      <c r="G449" s="87"/>
      <c r="H449" s="87"/>
    </row>
    <row r="450">
      <c r="G450" s="87"/>
      <c r="H450" s="87"/>
    </row>
    <row r="451">
      <c r="G451" s="87"/>
      <c r="H451" s="87"/>
    </row>
    <row r="452">
      <c r="G452" s="87"/>
      <c r="H452" s="87"/>
    </row>
    <row r="453">
      <c r="G453" s="87"/>
      <c r="H453" s="87"/>
    </row>
    <row r="454">
      <c r="G454" s="87"/>
      <c r="H454" s="87"/>
    </row>
    <row r="455">
      <c r="G455" s="87"/>
      <c r="H455" s="87"/>
    </row>
    <row r="456">
      <c r="G456" s="87"/>
      <c r="H456" s="87"/>
    </row>
    <row r="457">
      <c r="G457" s="87"/>
      <c r="H457" s="87"/>
    </row>
    <row r="458">
      <c r="G458" s="87"/>
      <c r="H458" s="87"/>
    </row>
    <row r="459">
      <c r="G459" s="87"/>
      <c r="H459" s="87"/>
    </row>
    <row r="460">
      <c r="G460" s="87"/>
      <c r="H460" s="87"/>
    </row>
    <row r="461">
      <c r="G461" s="87"/>
      <c r="H461" s="87"/>
    </row>
    <row r="462">
      <c r="G462" s="87"/>
      <c r="H462" s="87"/>
    </row>
    <row r="463">
      <c r="G463" s="87"/>
      <c r="H463" s="87"/>
    </row>
    <row r="464">
      <c r="G464" s="87"/>
      <c r="H464" s="87"/>
    </row>
    <row r="465">
      <c r="G465" s="87"/>
      <c r="H465" s="87"/>
    </row>
    <row r="466">
      <c r="G466" s="87"/>
      <c r="H466" s="87"/>
    </row>
    <row r="467">
      <c r="G467" s="87"/>
      <c r="H467" s="87"/>
    </row>
    <row r="468">
      <c r="G468" s="87"/>
      <c r="H468" s="87"/>
    </row>
    <row r="469">
      <c r="G469" s="87"/>
      <c r="H469" s="87"/>
    </row>
    <row r="470">
      <c r="G470" s="87"/>
      <c r="H470" s="87"/>
    </row>
    <row r="471">
      <c r="G471" s="87"/>
      <c r="H471" s="87"/>
    </row>
    <row r="472">
      <c r="G472" s="87"/>
      <c r="H472" s="87"/>
    </row>
    <row r="473">
      <c r="G473" s="87"/>
      <c r="H473" s="87"/>
    </row>
    <row r="474">
      <c r="G474" s="87"/>
      <c r="H474" s="87"/>
    </row>
    <row r="475">
      <c r="G475" s="87"/>
      <c r="H475" s="87"/>
    </row>
    <row r="476">
      <c r="G476" s="87"/>
      <c r="H476" s="87"/>
    </row>
    <row r="477">
      <c r="G477" s="87"/>
      <c r="H477" s="87"/>
    </row>
    <row r="478">
      <c r="G478" s="87"/>
      <c r="H478" s="87"/>
    </row>
    <row r="479">
      <c r="G479" s="87"/>
      <c r="H479" s="87"/>
    </row>
    <row r="480">
      <c r="G480" s="87"/>
      <c r="H480" s="87"/>
    </row>
    <row r="481">
      <c r="G481" s="87"/>
      <c r="H481" s="87"/>
    </row>
    <row r="482">
      <c r="G482" s="87"/>
      <c r="H482" s="87"/>
    </row>
    <row r="483">
      <c r="G483" s="87"/>
      <c r="H483" s="87"/>
    </row>
    <row r="484">
      <c r="G484" s="87"/>
      <c r="H484" s="87"/>
    </row>
    <row r="485">
      <c r="G485" s="87"/>
      <c r="H485" s="87"/>
    </row>
    <row r="486">
      <c r="G486" s="87"/>
      <c r="H486" s="87"/>
    </row>
    <row r="487">
      <c r="G487" s="87"/>
      <c r="H487" s="87"/>
    </row>
    <row r="488">
      <c r="G488" s="87"/>
      <c r="H488" s="87"/>
    </row>
    <row r="489">
      <c r="G489" s="87"/>
      <c r="H489" s="87"/>
    </row>
    <row r="490">
      <c r="G490" s="87"/>
      <c r="H490" s="87"/>
    </row>
    <row r="491">
      <c r="G491" s="87"/>
      <c r="H491" s="87"/>
    </row>
    <row r="492">
      <c r="G492" s="87"/>
      <c r="H492" s="87"/>
    </row>
    <row r="493">
      <c r="G493" s="87"/>
      <c r="H493" s="87"/>
    </row>
    <row r="494">
      <c r="G494" s="87"/>
      <c r="H494" s="87"/>
    </row>
    <row r="495">
      <c r="G495" s="87"/>
      <c r="H495" s="87"/>
    </row>
    <row r="496">
      <c r="G496" s="87"/>
      <c r="H496" s="87"/>
    </row>
    <row r="497">
      <c r="G497" s="87"/>
      <c r="H497" s="87"/>
    </row>
    <row r="498">
      <c r="G498" s="87"/>
      <c r="H498" s="87"/>
    </row>
    <row r="499">
      <c r="G499" s="87"/>
      <c r="H499" s="87"/>
    </row>
    <row r="500">
      <c r="G500" s="87"/>
      <c r="H500" s="87"/>
    </row>
    <row r="501">
      <c r="G501" s="87"/>
      <c r="H501" s="87"/>
    </row>
    <row r="502">
      <c r="G502" s="87"/>
      <c r="H502" s="87"/>
    </row>
    <row r="503">
      <c r="G503" s="87"/>
      <c r="H503" s="87"/>
    </row>
    <row r="504">
      <c r="G504" s="87"/>
      <c r="H504" s="87"/>
    </row>
    <row r="505">
      <c r="G505" s="87"/>
      <c r="H505" s="87"/>
    </row>
    <row r="506">
      <c r="G506" s="87"/>
      <c r="H506" s="87"/>
    </row>
    <row r="507">
      <c r="G507" s="87"/>
      <c r="H507" s="87"/>
    </row>
    <row r="508">
      <c r="G508" s="87"/>
      <c r="H508" s="87"/>
    </row>
    <row r="509">
      <c r="G509" s="87"/>
      <c r="H509" s="87"/>
    </row>
    <row r="510">
      <c r="G510" s="87"/>
      <c r="H510" s="87"/>
    </row>
    <row r="511">
      <c r="G511" s="87"/>
      <c r="H511" s="87"/>
    </row>
    <row r="512">
      <c r="G512" s="87"/>
      <c r="H512" s="87"/>
    </row>
    <row r="513">
      <c r="G513" s="87"/>
      <c r="H513" s="87"/>
    </row>
    <row r="514">
      <c r="G514" s="87"/>
      <c r="H514" s="87"/>
    </row>
    <row r="515">
      <c r="G515" s="87"/>
      <c r="H515" s="87"/>
    </row>
    <row r="516">
      <c r="G516" s="87"/>
      <c r="H516" s="87"/>
    </row>
    <row r="517">
      <c r="G517" s="87"/>
      <c r="H517" s="87"/>
    </row>
    <row r="518">
      <c r="G518" s="87"/>
      <c r="H518" s="87"/>
    </row>
    <row r="519">
      <c r="G519" s="87"/>
      <c r="H519" s="87"/>
    </row>
    <row r="520">
      <c r="G520" s="87"/>
      <c r="H520" s="87"/>
    </row>
    <row r="521">
      <c r="G521" s="87"/>
      <c r="H521" s="87"/>
    </row>
    <row r="522">
      <c r="G522" s="87"/>
      <c r="H522" s="87"/>
    </row>
    <row r="523">
      <c r="G523" s="87"/>
      <c r="H523" s="87"/>
    </row>
    <row r="524">
      <c r="G524" s="87"/>
      <c r="H524" s="87"/>
    </row>
    <row r="525">
      <c r="G525" s="87"/>
      <c r="H525" s="87"/>
    </row>
    <row r="526">
      <c r="G526" s="87"/>
      <c r="H526" s="87"/>
    </row>
    <row r="527">
      <c r="G527" s="87"/>
      <c r="H527" s="87"/>
    </row>
    <row r="528">
      <c r="G528" s="87"/>
      <c r="H528" s="87"/>
    </row>
    <row r="529">
      <c r="G529" s="87"/>
      <c r="H529" s="87"/>
    </row>
    <row r="530">
      <c r="G530" s="87"/>
      <c r="H530" s="87"/>
    </row>
    <row r="531">
      <c r="G531" s="87"/>
      <c r="H531" s="87"/>
    </row>
    <row r="532">
      <c r="G532" s="87"/>
      <c r="H532" s="87"/>
    </row>
    <row r="533">
      <c r="G533" s="87"/>
      <c r="H533" s="87"/>
    </row>
    <row r="534">
      <c r="G534" s="87"/>
      <c r="H534" s="87"/>
    </row>
    <row r="535">
      <c r="G535" s="87"/>
      <c r="H535" s="87"/>
    </row>
    <row r="536">
      <c r="G536" s="87"/>
      <c r="H536" s="87"/>
    </row>
    <row r="537">
      <c r="G537" s="87"/>
      <c r="H537" s="87"/>
    </row>
    <row r="538">
      <c r="G538" s="87"/>
      <c r="H538" s="87"/>
    </row>
    <row r="539">
      <c r="G539" s="87"/>
      <c r="H539" s="87"/>
    </row>
    <row r="540">
      <c r="G540" s="87"/>
      <c r="H540" s="87"/>
    </row>
    <row r="541">
      <c r="G541" s="87"/>
      <c r="H541" s="87"/>
    </row>
    <row r="542">
      <c r="G542" s="87"/>
      <c r="H542" s="87"/>
    </row>
    <row r="543">
      <c r="G543" s="87"/>
      <c r="H543" s="87"/>
    </row>
    <row r="544">
      <c r="G544" s="87"/>
      <c r="H544" s="87"/>
    </row>
    <row r="545">
      <c r="G545" s="87"/>
      <c r="H545" s="87"/>
    </row>
    <row r="546">
      <c r="G546" s="87"/>
      <c r="H546" s="87"/>
    </row>
    <row r="547">
      <c r="G547" s="87"/>
      <c r="H547" s="87"/>
    </row>
    <row r="548">
      <c r="G548" s="87"/>
      <c r="H548" s="87"/>
    </row>
    <row r="549">
      <c r="G549" s="87"/>
      <c r="H549" s="87"/>
    </row>
    <row r="550">
      <c r="G550" s="87"/>
      <c r="H550" s="87"/>
    </row>
    <row r="551">
      <c r="G551" s="87"/>
      <c r="H551" s="87"/>
    </row>
    <row r="552">
      <c r="G552" s="87"/>
      <c r="H552" s="87"/>
    </row>
    <row r="553">
      <c r="G553" s="87"/>
      <c r="H553" s="87"/>
    </row>
    <row r="554">
      <c r="G554" s="87"/>
      <c r="H554" s="87"/>
    </row>
    <row r="555">
      <c r="G555" s="87"/>
      <c r="H555" s="87"/>
    </row>
    <row r="556">
      <c r="G556" s="87"/>
      <c r="H556" s="87"/>
    </row>
    <row r="557">
      <c r="G557" s="87"/>
      <c r="H557" s="87"/>
    </row>
    <row r="558">
      <c r="G558" s="87"/>
      <c r="H558" s="87"/>
    </row>
    <row r="559">
      <c r="G559" s="87"/>
      <c r="H559" s="87"/>
    </row>
    <row r="560">
      <c r="G560" s="87"/>
      <c r="H560" s="87"/>
    </row>
    <row r="561">
      <c r="G561" s="87"/>
      <c r="H561" s="87"/>
    </row>
    <row r="562">
      <c r="G562" s="87"/>
      <c r="H562" s="87"/>
    </row>
    <row r="563">
      <c r="G563" s="87"/>
      <c r="H563" s="87"/>
    </row>
    <row r="564">
      <c r="G564" s="87"/>
      <c r="H564" s="87"/>
    </row>
    <row r="565">
      <c r="G565" s="87"/>
      <c r="H565" s="87"/>
    </row>
    <row r="566">
      <c r="G566" s="87"/>
      <c r="H566" s="87"/>
    </row>
    <row r="567">
      <c r="G567" s="87"/>
      <c r="H567" s="87"/>
    </row>
    <row r="568">
      <c r="G568" s="87"/>
      <c r="H568" s="87"/>
    </row>
    <row r="569">
      <c r="G569" s="87"/>
      <c r="H569" s="87"/>
    </row>
    <row r="570">
      <c r="G570" s="87"/>
      <c r="H570" s="87"/>
    </row>
    <row r="571">
      <c r="G571" s="87"/>
      <c r="H571" s="87"/>
    </row>
    <row r="572">
      <c r="G572" s="87"/>
      <c r="H572" s="87"/>
    </row>
    <row r="573">
      <c r="G573" s="87"/>
      <c r="H573" s="87"/>
    </row>
    <row r="574">
      <c r="G574" s="87"/>
      <c r="H574" s="87"/>
    </row>
    <row r="575">
      <c r="G575" s="87"/>
      <c r="H575" s="87"/>
    </row>
    <row r="576">
      <c r="G576" s="87"/>
      <c r="H576" s="87"/>
    </row>
    <row r="577">
      <c r="G577" s="87"/>
      <c r="H577" s="87"/>
    </row>
    <row r="578">
      <c r="G578" s="87"/>
      <c r="H578" s="87"/>
    </row>
    <row r="579">
      <c r="G579" s="87"/>
      <c r="H579" s="87"/>
    </row>
    <row r="580">
      <c r="G580" s="87"/>
      <c r="H580" s="87"/>
    </row>
    <row r="581">
      <c r="G581" s="87"/>
      <c r="H581" s="87"/>
    </row>
    <row r="582">
      <c r="G582" s="87"/>
      <c r="H582" s="87"/>
    </row>
    <row r="583">
      <c r="G583" s="87"/>
      <c r="H583" s="87"/>
    </row>
    <row r="584">
      <c r="G584" s="87"/>
      <c r="H584" s="87"/>
    </row>
    <row r="585">
      <c r="G585" s="87"/>
      <c r="H585" s="87"/>
    </row>
    <row r="586">
      <c r="G586" s="87"/>
      <c r="H586" s="87"/>
    </row>
    <row r="587">
      <c r="G587" s="87"/>
      <c r="H587" s="87"/>
    </row>
    <row r="588">
      <c r="G588" s="87"/>
      <c r="H588" s="87"/>
    </row>
    <row r="589">
      <c r="G589" s="87"/>
      <c r="H589" s="87"/>
    </row>
    <row r="590">
      <c r="G590" s="87"/>
      <c r="H590" s="87"/>
    </row>
    <row r="591">
      <c r="G591" s="87"/>
      <c r="H591" s="87"/>
    </row>
    <row r="592">
      <c r="G592" s="87"/>
      <c r="H592" s="87"/>
    </row>
    <row r="593">
      <c r="G593" s="87"/>
      <c r="H593" s="87"/>
    </row>
    <row r="594">
      <c r="G594" s="87"/>
      <c r="H594" s="87"/>
    </row>
    <row r="595">
      <c r="G595" s="87"/>
      <c r="H595" s="87"/>
    </row>
    <row r="596">
      <c r="G596" s="87"/>
      <c r="H596" s="87"/>
    </row>
    <row r="597">
      <c r="G597" s="87"/>
      <c r="H597" s="87"/>
    </row>
    <row r="598">
      <c r="G598" s="87"/>
      <c r="H598" s="87"/>
    </row>
    <row r="599">
      <c r="G599" s="87"/>
      <c r="H599" s="87"/>
    </row>
    <row r="600">
      <c r="G600" s="87"/>
      <c r="H600" s="87"/>
    </row>
    <row r="601">
      <c r="G601" s="87"/>
      <c r="H601" s="87"/>
    </row>
    <row r="602">
      <c r="G602" s="87"/>
      <c r="H602" s="87"/>
    </row>
    <row r="603">
      <c r="G603" s="87"/>
      <c r="H603" s="87"/>
    </row>
    <row r="604">
      <c r="G604" s="87"/>
      <c r="H604" s="87"/>
    </row>
    <row r="605">
      <c r="G605" s="87"/>
      <c r="H605" s="87"/>
    </row>
    <row r="606">
      <c r="G606" s="87"/>
      <c r="H606" s="87"/>
    </row>
    <row r="607">
      <c r="G607" s="87"/>
      <c r="H607" s="87"/>
    </row>
    <row r="608">
      <c r="G608" s="87"/>
      <c r="H608" s="87"/>
    </row>
    <row r="609">
      <c r="G609" s="87"/>
      <c r="H609" s="87"/>
    </row>
    <row r="610">
      <c r="G610" s="87"/>
      <c r="H610" s="87"/>
    </row>
    <row r="611">
      <c r="G611" s="87"/>
      <c r="H611" s="87"/>
    </row>
    <row r="612">
      <c r="G612" s="87"/>
      <c r="H612" s="87"/>
    </row>
    <row r="613">
      <c r="G613" s="87"/>
      <c r="H613" s="87"/>
    </row>
    <row r="614">
      <c r="G614" s="87"/>
      <c r="H614" s="87"/>
    </row>
    <row r="615">
      <c r="G615" s="87"/>
      <c r="H615" s="87"/>
    </row>
    <row r="616">
      <c r="G616" s="87"/>
      <c r="H616" s="87"/>
    </row>
    <row r="617">
      <c r="G617" s="87"/>
      <c r="H617" s="87"/>
    </row>
    <row r="618">
      <c r="G618" s="87"/>
      <c r="H618" s="87"/>
    </row>
    <row r="619">
      <c r="G619" s="87"/>
      <c r="H619" s="87"/>
    </row>
    <row r="620">
      <c r="G620" s="87"/>
      <c r="H620" s="87"/>
    </row>
    <row r="621">
      <c r="G621" s="87"/>
      <c r="H621" s="87"/>
    </row>
    <row r="622">
      <c r="G622" s="87"/>
      <c r="H622" s="87"/>
    </row>
    <row r="623">
      <c r="G623" s="87"/>
      <c r="H623" s="87"/>
    </row>
    <row r="624">
      <c r="G624" s="87"/>
      <c r="H624" s="87"/>
    </row>
    <row r="625">
      <c r="G625" s="87"/>
      <c r="H625" s="87"/>
    </row>
    <row r="626">
      <c r="G626" s="87"/>
      <c r="H626" s="87"/>
    </row>
    <row r="627">
      <c r="G627" s="87"/>
      <c r="H627" s="87"/>
    </row>
    <row r="628">
      <c r="G628" s="87"/>
      <c r="H628" s="87"/>
    </row>
    <row r="629">
      <c r="G629" s="87"/>
      <c r="H629" s="87"/>
    </row>
    <row r="630">
      <c r="G630" s="87"/>
      <c r="H630" s="87"/>
    </row>
    <row r="631">
      <c r="G631" s="87"/>
      <c r="H631" s="87"/>
    </row>
    <row r="632">
      <c r="G632" s="87"/>
      <c r="H632" s="87"/>
    </row>
    <row r="633">
      <c r="G633" s="87"/>
      <c r="H633" s="87"/>
    </row>
    <row r="634">
      <c r="G634" s="87"/>
      <c r="H634" s="87"/>
    </row>
    <row r="635">
      <c r="G635" s="87"/>
      <c r="H635" s="87"/>
    </row>
    <row r="636">
      <c r="G636" s="87"/>
      <c r="H636" s="87"/>
    </row>
    <row r="637">
      <c r="G637" s="87"/>
      <c r="H637" s="87"/>
    </row>
    <row r="638">
      <c r="G638" s="87"/>
      <c r="H638" s="87"/>
    </row>
    <row r="639">
      <c r="G639" s="87"/>
      <c r="H639" s="87"/>
    </row>
    <row r="640">
      <c r="G640" s="87"/>
      <c r="H640" s="87"/>
    </row>
    <row r="641">
      <c r="G641" s="87"/>
      <c r="H641" s="87"/>
    </row>
    <row r="642">
      <c r="G642" s="87"/>
      <c r="H642" s="87"/>
    </row>
    <row r="643">
      <c r="G643" s="87"/>
      <c r="H643" s="87"/>
    </row>
    <row r="644">
      <c r="G644" s="87"/>
      <c r="H644" s="87"/>
    </row>
    <row r="645">
      <c r="G645" s="87"/>
      <c r="H645" s="87"/>
    </row>
    <row r="646">
      <c r="G646" s="87"/>
      <c r="H646" s="87"/>
    </row>
    <row r="647">
      <c r="G647" s="87"/>
      <c r="H647" s="87"/>
    </row>
    <row r="648">
      <c r="G648" s="87"/>
      <c r="H648" s="87"/>
    </row>
    <row r="649">
      <c r="G649" s="87"/>
      <c r="H649" s="87"/>
    </row>
    <row r="650">
      <c r="G650" s="87"/>
      <c r="H650" s="87"/>
    </row>
    <row r="651">
      <c r="G651" s="87"/>
      <c r="H651" s="87"/>
    </row>
    <row r="652">
      <c r="G652" s="87"/>
      <c r="H652" s="87"/>
    </row>
    <row r="653">
      <c r="G653" s="87"/>
      <c r="H653" s="87"/>
    </row>
    <row r="654">
      <c r="G654" s="87"/>
      <c r="H654" s="87"/>
    </row>
    <row r="655">
      <c r="G655" s="87"/>
      <c r="H655" s="87"/>
    </row>
    <row r="656">
      <c r="G656" s="87"/>
      <c r="H656" s="87"/>
    </row>
    <row r="657">
      <c r="G657" s="87"/>
      <c r="H657" s="87"/>
    </row>
    <row r="658">
      <c r="G658" s="87"/>
      <c r="H658" s="87"/>
    </row>
    <row r="659">
      <c r="G659" s="87"/>
      <c r="H659" s="87"/>
    </row>
    <row r="660">
      <c r="G660" s="87"/>
      <c r="H660" s="87"/>
    </row>
    <row r="661">
      <c r="G661" s="87"/>
      <c r="H661" s="87"/>
    </row>
    <row r="662">
      <c r="G662" s="87"/>
      <c r="H662" s="87"/>
    </row>
    <row r="663">
      <c r="G663" s="87"/>
      <c r="H663" s="87"/>
    </row>
    <row r="664">
      <c r="G664" s="87"/>
      <c r="H664" s="87"/>
    </row>
    <row r="665">
      <c r="G665" s="87"/>
      <c r="H665" s="87"/>
    </row>
    <row r="666">
      <c r="G666" s="87"/>
      <c r="H666" s="87"/>
    </row>
    <row r="667">
      <c r="G667" s="87"/>
      <c r="H667" s="87"/>
    </row>
    <row r="668">
      <c r="G668" s="87"/>
      <c r="H668" s="87"/>
    </row>
    <row r="669">
      <c r="G669" s="87"/>
      <c r="H669" s="87"/>
    </row>
    <row r="670">
      <c r="G670" s="87"/>
      <c r="H670" s="87"/>
    </row>
    <row r="671">
      <c r="G671" s="87"/>
      <c r="H671" s="87"/>
    </row>
    <row r="672">
      <c r="G672" s="87"/>
      <c r="H672" s="87"/>
    </row>
    <row r="673">
      <c r="G673" s="87"/>
      <c r="H673" s="87"/>
    </row>
    <row r="674">
      <c r="G674" s="87"/>
      <c r="H674" s="87"/>
    </row>
    <row r="675">
      <c r="G675" s="87"/>
      <c r="H675" s="87"/>
    </row>
    <row r="676">
      <c r="G676" s="87"/>
      <c r="H676" s="87"/>
    </row>
    <row r="677">
      <c r="G677" s="87"/>
      <c r="H677" s="87"/>
    </row>
    <row r="678">
      <c r="G678" s="87"/>
      <c r="H678" s="87"/>
    </row>
    <row r="679">
      <c r="G679" s="87"/>
      <c r="H679" s="87"/>
    </row>
    <row r="680">
      <c r="G680" s="87"/>
      <c r="H680" s="87"/>
    </row>
    <row r="681">
      <c r="G681" s="87"/>
      <c r="H681" s="87"/>
    </row>
    <row r="682">
      <c r="G682" s="87"/>
      <c r="H682" s="87"/>
    </row>
    <row r="683">
      <c r="G683" s="87"/>
      <c r="H683" s="87"/>
    </row>
    <row r="684">
      <c r="G684" s="87"/>
      <c r="H684" s="87"/>
    </row>
    <row r="685">
      <c r="G685" s="87"/>
      <c r="H685" s="87"/>
    </row>
    <row r="686">
      <c r="G686" s="87"/>
      <c r="H686" s="87"/>
    </row>
    <row r="687">
      <c r="G687" s="87"/>
      <c r="H687" s="87"/>
    </row>
    <row r="688">
      <c r="G688" s="87"/>
      <c r="H688" s="87"/>
    </row>
    <row r="689">
      <c r="G689" s="87"/>
      <c r="H689" s="87"/>
    </row>
    <row r="690">
      <c r="G690" s="87"/>
      <c r="H690" s="87"/>
    </row>
    <row r="691">
      <c r="G691" s="87"/>
      <c r="H691" s="87"/>
    </row>
    <row r="692">
      <c r="G692" s="87"/>
      <c r="H692" s="87"/>
    </row>
    <row r="693">
      <c r="G693" s="87"/>
      <c r="H693" s="87"/>
    </row>
    <row r="694">
      <c r="G694" s="87"/>
      <c r="H694" s="87"/>
    </row>
    <row r="695">
      <c r="G695" s="87"/>
      <c r="H695" s="87"/>
    </row>
    <row r="696">
      <c r="G696" s="87"/>
      <c r="H696" s="87"/>
    </row>
    <row r="697">
      <c r="G697" s="87"/>
      <c r="H697" s="87"/>
    </row>
    <row r="698">
      <c r="G698" s="87"/>
      <c r="H698" s="87"/>
    </row>
    <row r="699">
      <c r="G699" s="87"/>
      <c r="H699" s="87"/>
    </row>
    <row r="700">
      <c r="G700" s="87"/>
      <c r="H700" s="87"/>
    </row>
    <row r="701">
      <c r="G701" s="87"/>
      <c r="H701" s="87"/>
    </row>
    <row r="702">
      <c r="G702" s="87"/>
      <c r="H702" s="87"/>
    </row>
    <row r="703">
      <c r="G703" s="87"/>
      <c r="H703" s="87"/>
    </row>
    <row r="704">
      <c r="G704" s="87"/>
      <c r="H704" s="87"/>
    </row>
    <row r="705">
      <c r="G705" s="87"/>
      <c r="H705" s="87"/>
    </row>
    <row r="706">
      <c r="G706" s="87"/>
      <c r="H706" s="87"/>
    </row>
    <row r="707">
      <c r="G707" s="87"/>
      <c r="H707" s="87"/>
    </row>
    <row r="708">
      <c r="G708" s="87"/>
      <c r="H708" s="87"/>
    </row>
    <row r="709">
      <c r="G709" s="87"/>
      <c r="H709" s="87"/>
    </row>
    <row r="710">
      <c r="G710" s="87"/>
      <c r="H710" s="87"/>
    </row>
    <row r="711">
      <c r="G711" s="87"/>
      <c r="H711" s="87"/>
    </row>
    <row r="712">
      <c r="G712" s="87"/>
      <c r="H712" s="87"/>
    </row>
    <row r="713">
      <c r="G713" s="87"/>
      <c r="H713" s="87"/>
    </row>
    <row r="714">
      <c r="G714" s="87"/>
      <c r="H714" s="87"/>
    </row>
    <row r="715">
      <c r="G715" s="87"/>
      <c r="H715" s="87"/>
    </row>
    <row r="716">
      <c r="G716" s="87"/>
      <c r="H716" s="87"/>
    </row>
    <row r="717">
      <c r="G717" s="87"/>
      <c r="H717" s="87"/>
    </row>
    <row r="718">
      <c r="G718" s="87"/>
      <c r="H718" s="87"/>
    </row>
    <row r="719">
      <c r="G719" s="87"/>
      <c r="H719" s="87"/>
    </row>
    <row r="720">
      <c r="G720" s="87"/>
      <c r="H720" s="87"/>
    </row>
    <row r="721">
      <c r="G721" s="87"/>
      <c r="H721" s="87"/>
    </row>
    <row r="722">
      <c r="G722" s="87"/>
      <c r="H722" s="87"/>
    </row>
    <row r="723">
      <c r="G723" s="87"/>
      <c r="H723" s="87"/>
    </row>
    <row r="724">
      <c r="G724" s="87"/>
      <c r="H724" s="87"/>
    </row>
    <row r="725">
      <c r="G725" s="87"/>
      <c r="H725" s="87"/>
    </row>
    <row r="726">
      <c r="G726" s="87"/>
      <c r="H726" s="87"/>
    </row>
    <row r="727">
      <c r="G727" s="87"/>
      <c r="H727" s="87"/>
    </row>
    <row r="728">
      <c r="G728" s="87"/>
      <c r="H728" s="87"/>
    </row>
    <row r="729">
      <c r="G729" s="87"/>
      <c r="H729" s="87"/>
    </row>
    <row r="730">
      <c r="G730" s="87"/>
      <c r="H730" s="87"/>
    </row>
    <row r="731">
      <c r="G731" s="87"/>
      <c r="H731" s="87"/>
    </row>
    <row r="732">
      <c r="G732" s="87"/>
      <c r="H732" s="87"/>
    </row>
    <row r="733">
      <c r="G733" s="87"/>
      <c r="H733" s="87"/>
    </row>
    <row r="734">
      <c r="G734" s="87"/>
      <c r="H734" s="87"/>
    </row>
    <row r="735">
      <c r="G735" s="87"/>
      <c r="H735" s="87"/>
    </row>
    <row r="736">
      <c r="G736" s="87"/>
      <c r="H736" s="87"/>
    </row>
    <row r="737">
      <c r="G737" s="87"/>
      <c r="H737" s="87"/>
    </row>
    <row r="738">
      <c r="G738" s="87"/>
      <c r="H738" s="87"/>
    </row>
    <row r="739">
      <c r="G739" s="87"/>
      <c r="H739" s="87"/>
    </row>
    <row r="740">
      <c r="G740" s="87"/>
      <c r="H740" s="87"/>
    </row>
    <row r="741">
      <c r="G741" s="87"/>
      <c r="H741" s="87"/>
    </row>
    <row r="742">
      <c r="G742" s="87"/>
      <c r="H742" s="87"/>
    </row>
    <row r="743">
      <c r="G743" s="87"/>
      <c r="H743" s="87"/>
    </row>
    <row r="744">
      <c r="G744" s="87"/>
      <c r="H744" s="87"/>
    </row>
    <row r="745">
      <c r="G745" s="87"/>
      <c r="H745" s="87"/>
    </row>
    <row r="746">
      <c r="G746" s="87"/>
      <c r="H746" s="87"/>
    </row>
    <row r="747">
      <c r="G747" s="87"/>
      <c r="H747" s="87"/>
    </row>
    <row r="748">
      <c r="G748" s="87"/>
      <c r="H748" s="87"/>
    </row>
    <row r="749">
      <c r="G749" s="87"/>
      <c r="H749" s="87"/>
    </row>
    <row r="750">
      <c r="G750" s="87"/>
      <c r="H750" s="87"/>
    </row>
    <row r="751">
      <c r="G751" s="87"/>
      <c r="H751" s="87"/>
    </row>
    <row r="752">
      <c r="G752" s="87"/>
      <c r="H752" s="87"/>
    </row>
    <row r="753">
      <c r="G753" s="87"/>
      <c r="H753" s="87"/>
    </row>
    <row r="754">
      <c r="G754" s="87"/>
      <c r="H754" s="87"/>
    </row>
    <row r="755">
      <c r="G755" s="87"/>
      <c r="H755" s="87"/>
    </row>
    <row r="756">
      <c r="G756" s="87"/>
      <c r="H756" s="87"/>
    </row>
    <row r="757">
      <c r="G757" s="87"/>
      <c r="H757" s="87"/>
    </row>
    <row r="758">
      <c r="G758" s="87"/>
      <c r="H758" s="87"/>
    </row>
    <row r="759">
      <c r="G759" s="87"/>
      <c r="H759" s="87"/>
    </row>
    <row r="760">
      <c r="G760" s="87"/>
      <c r="H760" s="87"/>
    </row>
    <row r="761">
      <c r="G761" s="87"/>
      <c r="H761" s="87"/>
    </row>
    <row r="762">
      <c r="G762" s="87"/>
      <c r="H762" s="87"/>
    </row>
    <row r="763">
      <c r="G763" s="87"/>
      <c r="H763" s="87"/>
    </row>
    <row r="764">
      <c r="G764" s="87"/>
      <c r="H764" s="87"/>
    </row>
    <row r="765">
      <c r="G765" s="87"/>
      <c r="H765" s="87"/>
    </row>
    <row r="766">
      <c r="G766" s="87"/>
      <c r="H766" s="87"/>
    </row>
    <row r="767">
      <c r="G767" s="87"/>
      <c r="H767" s="87"/>
    </row>
    <row r="768">
      <c r="G768" s="87"/>
      <c r="H768" s="87"/>
    </row>
    <row r="769">
      <c r="G769" s="87"/>
      <c r="H769" s="87"/>
    </row>
    <row r="770">
      <c r="G770" s="87"/>
      <c r="H770" s="87"/>
    </row>
    <row r="771">
      <c r="G771" s="87"/>
      <c r="H771" s="87"/>
    </row>
    <row r="772">
      <c r="G772" s="87"/>
      <c r="H772" s="87"/>
    </row>
    <row r="773">
      <c r="G773" s="87"/>
      <c r="H773" s="87"/>
    </row>
    <row r="774">
      <c r="G774" s="87"/>
      <c r="H774" s="87"/>
    </row>
    <row r="775">
      <c r="G775" s="87"/>
      <c r="H775" s="87"/>
    </row>
    <row r="776">
      <c r="G776" s="87"/>
      <c r="H776" s="87"/>
    </row>
    <row r="777">
      <c r="G777" s="87"/>
      <c r="H777" s="87"/>
    </row>
    <row r="778">
      <c r="G778" s="87"/>
      <c r="H778" s="87"/>
    </row>
    <row r="779">
      <c r="G779" s="87"/>
      <c r="H779" s="87"/>
    </row>
    <row r="780">
      <c r="G780" s="87"/>
      <c r="H780" s="87"/>
    </row>
    <row r="781">
      <c r="G781" s="87"/>
      <c r="H781" s="87"/>
    </row>
    <row r="782">
      <c r="G782" s="87"/>
      <c r="H782" s="87"/>
    </row>
    <row r="783">
      <c r="G783" s="87"/>
      <c r="H783" s="87"/>
    </row>
    <row r="784">
      <c r="G784" s="87"/>
      <c r="H784" s="87"/>
    </row>
    <row r="785">
      <c r="G785" s="87"/>
      <c r="H785" s="87"/>
    </row>
    <row r="786">
      <c r="G786" s="87"/>
      <c r="H786" s="87"/>
    </row>
    <row r="787">
      <c r="G787" s="87"/>
      <c r="H787" s="87"/>
    </row>
    <row r="788">
      <c r="G788" s="87"/>
      <c r="H788" s="87"/>
    </row>
    <row r="789">
      <c r="G789" s="87"/>
      <c r="H789" s="87"/>
    </row>
    <row r="790">
      <c r="G790" s="87"/>
      <c r="H790" s="87"/>
    </row>
    <row r="791">
      <c r="G791" s="87"/>
      <c r="H791" s="87"/>
    </row>
    <row r="792">
      <c r="G792" s="87"/>
      <c r="H792" s="87"/>
    </row>
    <row r="793">
      <c r="G793" s="87"/>
      <c r="H793" s="87"/>
    </row>
    <row r="794">
      <c r="G794" s="87"/>
      <c r="H794" s="87"/>
    </row>
    <row r="795">
      <c r="G795" s="87"/>
      <c r="H795" s="87"/>
    </row>
    <row r="796">
      <c r="G796" s="87"/>
      <c r="H796" s="87"/>
    </row>
    <row r="797">
      <c r="G797" s="87"/>
      <c r="H797" s="87"/>
    </row>
    <row r="798">
      <c r="G798" s="87"/>
      <c r="H798" s="87"/>
    </row>
    <row r="799">
      <c r="G799" s="87"/>
      <c r="H799" s="87"/>
    </row>
    <row r="800">
      <c r="G800" s="87"/>
      <c r="H800" s="87"/>
    </row>
    <row r="801">
      <c r="G801" s="87"/>
      <c r="H801" s="87"/>
    </row>
    <row r="802">
      <c r="G802" s="87"/>
      <c r="H802" s="87"/>
    </row>
    <row r="803">
      <c r="G803" s="87"/>
      <c r="H803" s="87"/>
    </row>
    <row r="804">
      <c r="G804" s="87"/>
      <c r="H804" s="87"/>
    </row>
    <row r="805">
      <c r="G805" s="87"/>
      <c r="H805" s="87"/>
    </row>
    <row r="806">
      <c r="G806" s="87"/>
      <c r="H806" s="87"/>
    </row>
    <row r="807">
      <c r="G807" s="87"/>
      <c r="H807" s="87"/>
    </row>
    <row r="808">
      <c r="G808" s="87"/>
      <c r="H808" s="87"/>
    </row>
    <row r="809">
      <c r="G809" s="87"/>
      <c r="H809" s="87"/>
    </row>
    <row r="810">
      <c r="G810" s="87"/>
      <c r="H810" s="87"/>
    </row>
    <row r="811">
      <c r="G811" s="87"/>
      <c r="H811" s="87"/>
    </row>
    <row r="812">
      <c r="G812" s="87"/>
      <c r="H812" s="87"/>
    </row>
    <row r="813">
      <c r="G813" s="87"/>
      <c r="H813" s="87"/>
    </row>
    <row r="814">
      <c r="G814" s="87"/>
      <c r="H814" s="87"/>
    </row>
    <row r="815">
      <c r="G815" s="87"/>
      <c r="H815" s="87"/>
    </row>
    <row r="816">
      <c r="G816" s="87"/>
      <c r="H816" s="87"/>
    </row>
    <row r="817">
      <c r="G817" s="87"/>
      <c r="H817" s="87"/>
    </row>
    <row r="818">
      <c r="G818" s="87"/>
      <c r="H818" s="87"/>
    </row>
    <row r="819">
      <c r="G819" s="87"/>
      <c r="H819" s="87"/>
    </row>
    <row r="820">
      <c r="G820" s="87"/>
      <c r="H820" s="87"/>
    </row>
    <row r="821">
      <c r="G821" s="87"/>
      <c r="H821" s="87"/>
    </row>
    <row r="822">
      <c r="G822" s="87"/>
      <c r="H822" s="87"/>
    </row>
    <row r="823">
      <c r="G823" s="87"/>
      <c r="H823" s="87"/>
    </row>
    <row r="824">
      <c r="G824" s="87"/>
      <c r="H824" s="87"/>
    </row>
    <row r="825">
      <c r="G825" s="87"/>
      <c r="H825" s="87"/>
    </row>
    <row r="826">
      <c r="G826" s="87"/>
      <c r="H826" s="87"/>
    </row>
    <row r="827">
      <c r="G827" s="87"/>
      <c r="H827" s="87"/>
    </row>
    <row r="828">
      <c r="G828" s="87"/>
      <c r="H828" s="87"/>
    </row>
    <row r="829">
      <c r="G829" s="87"/>
      <c r="H829" s="87"/>
    </row>
    <row r="830">
      <c r="G830" s="87"/>
      <c r="H830" s="87"/>
    </row>
    <row r="831">
      <c r="G831" s="87"/>
      <c r="H831" s="87"/>
    </row>
    <row r="832">
      <c r="G832" s="87"/>
      <c r="H832" s="87"/>
    </row>
    <row r="833">
      <c r="G833" s="87"/>
      <c r="H833" s="87"/>
    </row>
    <row r="834">
      <c r="G834" s="87"/>
      <c r="H834" s="87"/>
    </row>
    <row r="835">
      <c r="G835" s="87"/>
      <c r="H835" s="87"/>
    </row>
    <row r="836">
      <c r="G836" s="87"/>
      <c r="H836" s="87"/>
    </row>
    <row r="837">
      <c r="G837" s="87"/>
      <c r="H837" s="87"/>
    </row>
    <row r="838">
      <c r="G838" s="87"/>
      <c r="H838" s="87"/>
    </row>
    <row r="839">
      <c r="G839" s="87"/>
      <c r="H839" s="87"/>
    </row>
    <row r="840">
      <c r="G840" s="87"/>
      <c r="H840" s="87"/>
    </row>
    <row r="841">
      <c r="G841" s="87"/>
      <c r="H841" s="87"/>
    </row>
    <row r="842">
      <c r="G842" s="87"/>
      <c r="H842" s="87"/>
    </row>
    <row r="843">
      <c r="G843" s="87"/>
      <c r="H843" s="87"/>
    </row>
    <row r="844">
      <c r="G844" s="87"/>
      <c r="H844" s="87"/>
    </row>
    <row r="845">
      <c r="G845" s="87"/>
      <c r="H845" s="87"/>
    </row>
    <row r="846">
      <c r="G846" s="87"/>
      <c r="H846" s="87"/>
    </row>
    <row r="847">
      <c r="G847" s="87"/>
      <c r="H847" s="87"/>
    </row>
    <row r="848">
      <c r="G848" s="87"/>
      <c r="H848" s="87"/>
    </row>
    <row r="849">
      <c r="G849" s="87"/>
      <c r="H849" s="87"/>
    </row>
    <row r="850">
      <c r="G850" s="87"/>
      <c r="H850" s="87"/>
    </row>
    <row r="851">
      <c r="G851" s="87"/>
      <c r="H851" s="87"/>
    </row>
    <row r="852">
      <c r="G852" s="87"/>
      <c r="H852" s="87"/>
    </row>
    <row r="853">
      <c r="G853" s="87"/>
      <c r="H853" s="87"/>
    </row>
    <row r="854">
      <c r="G854" s="87"/>
      <c r="H854" s="87"/>
    </row>
    <row r="855">
      <c r="G855" s="87"/>
      <c r="H855" s="87"/>
    </row>
    <row r="856">
      <c r="G856" s="87"/>
      <c r="H856" s="87"/>
    </row>
    <row r="857">
      <c r="G857" s="87"/>
      <c r="H857" s="87"/>
    </row>
    <row r="858">
      <c r="G858" s="87"/>
      <c r="H858" s="87"/>
    </row>
    <row r="859">
      <c r="G859" s="87"/>
      <c r="H859" s="87"/>
    </row>
    <row r="860">
      <c r="G860" s="87"/>
      <c r="H860" s="87"/>
    </row>
    <row r="861">
      <c r="G861" s="87"/>
      <c r="H861" s="87"/>
    </row>
    <row r="862">
      <c r="G862" s="87"/>
      <c r="H862" s="87"/>
    </row>
    <row r="863">
      <c r="G863" s="87"/>
      <c r="H863" s="87"/>
    </row>
    <row r="864">
      <c r="G864" s="87"/>
      <c r="H864" s="87"/>
    </row>
    <row r="865">
      <c r="G865" s="87"/>
      <c r="H865" s="87"/>
    </row>
    <row r="866">
      <c r="G866" s="87"/>
      <c r="H866" s="87"/>
    </row>
    <row r="867">
      <c r="G867" s="87"/>
      <c r="H867" s="87"/>
    </row>
    <row r="868">
      <c r="G868" s="87"/>
      <c r="H868" s="87"/>
    </row>
    <row r="869">
      <c r="G869" s="87"/>
      <c r="H869" s="87"/>
    </row>
    <row r="870">
      <c r="G870" s="87"/>
      <c r="H870" s="87"/>
    </row>
    <row r="871">
      <c r="G871" s="87"/>
      <c r="H871" s="87"/>
    </row>
    <row r="872">
      <c r="G872" s="87"/>
      <c r="H872" s="87"/>
    </row>
    <row r="873">
      <c r="G873" s="87"/>
      <c r="H873" s="87"/>
    </row>
    <row r="874">
      <c r="G874" s="87"/>
      <c r="H874" s="87"/>
    </row>
    <row r="875">
      <c r="G875" s="87"/>
      <c r="H875" s="87"/>
    </row>
    <row r="876">
      <c r="G876" s="87"/>
      <c r="H876" s="87"/>
    </row>
    <row r="877">
      <c r="G877" s="87"/>
      <c r="H877" s="87"/>
    </row>
    <row r="878">
      <c r="G878" s="87"/>
      <c r="H878" s="87"/>
    </row>
    <row r="879">
      <c r="G879" s="87"/>
      <c r="H879" s="87"/>
    </row>
    <row r="880">
      <c r="G880" s="87"/>
      <c r="H880" s="87"/>
    </row>
    <row r="881">
      <c r="G881" s="87"/>
      <c r="H881" s="87"/>
    </row>
    <row r="882">
      <c r="G882" s="87"/>
      <c r="H882" s="87"/>
    </row>
    <row r="883">
      <c r="G883" s="87"/>
      <c r="H883" s="87"/>
    </row>
    <row r="884">
      <c r="G884" s="87"/>
      <c r="H884" s="87"/>
    </row>
    <row r="885">
      <c r="G885" s="87"/>
      <c r="H885" s="87"/>
    </row>
    <row r="886">
      <c r="G886" s="87"/>
      <c r="H886" s="87"/>
    </row>
    <row r="887">
      <c r="G887" s="87"/>
      <c r="H887" s="87"/>
    </row>
    <row r="888">
      <c r="G888" s="87"/>
      <c r="H888" s="87"/>
    </row>
    <row r="889">
      <c r="G889" s="87"/>
      <c r="H889" s="87"/>
    </row>
    <row r="890">
      <c r="G890" s="87"/>
      <c r="H890" s="87"/>
    </row>
    <row r="891">
      <c r="G891" s="87"/>
      <c r="H891" s="87"/>
    </row>
    <row r="892">
      <c r="G892" s="87"/>
      <c r="H892" s="87"/>
    </row>
    <row r="893">
      <c r="G893" s="87"/>
      <c r="H893" s="87"/>
    </row>
    <row r="894">
      <c r="G894" s="87"/>
      <c r="H894" s="87"/>
    </row>
    <row r="895">
      <c r="G895" s="87"/>
      <c r="H895" s="87"/>
    </row>
    <row r="896">
      <c r="G896" s="87"/>
      <c r="H896" s="87"/>
    </row>
    <row r="897">
      <c r="G897" s="87"/>
      <c r="H897" s="87"/>
    </row>
    <row r="898">
      <c r="G898" s="87"/>
      <c r="H898" s="87"/>
    </row>
    <row r="899">
      <c r="G899" s="87"/>
      <c r="H899" s="87"/>
    </row>
    <row r="900">
      <c r="G900" s="87"/>
      <c r="H900" s="87"/>
    </row>
    <row r="901">
      <c r="G901" s="87"/>
      <c r="H901" s="87"/>
    </row>
    <row r="902">
      <c r="G902" s="87"/>
      <c r="H902" s="87"/>
    </row>
    <row r="903">
      <c r="G903" s="87"/>
      <c r="H903" s="87"/>
    </row>
    <row r="904">
      <c r="G904" s="87"/>
      <c r="H904" s="87"/>
    </row>
    <row r="905">
      <c r="G905" s="87"/>
      <c r="H905" s="87"/>
    </row>
    <row r="906">
      <c r="G906" s="87"/>
      <c r="H906" s="87"/>
    </row>
    <row r="907">
      <c r="G907" s="87"/>
      <c r="H907" s="87"/>
    </row>
    <row r="908">
      <c r="G908" s="87"/>
      <c r="H908" s="87"/>
    </row>
    <row r="909">
      <c r="G909" s="87"/>
      <c r="H909" s="87"/>
    </row>
    <row r="910">
      <c r="G910" s="87"/>
      <c r="H910" s="87"/>
    </row>
    <row r="911">
      <c r="G911" s="87"/>
      <c r="H911" s="87"/>
    </row>
    <row r="912">
      <c r="G912" s="87"/>
      <c r="H912" s="87"/>
    </row>
    <row r="913">
      <c r="G913" s="87"/>
      <c r="H913" s="87"/>
    </row>
    <row r="914">
      <c r="G914" s="87"/>
      <c r="H914" s="87"/>
    </row>
    <row r="915">
      <c r="G915" s="87"/>
      <c r="H915" s="87"/>
    </row>
    <row r="916">
      <c r="G916" s="87"/>
      <c r="H916" s="87"/>
    </row>
    <row r="917">
      <c r="G917" s="87"/>
      <c r="H917" s="87"/>
    </row>
    <row r="918">
      <c r="G918" s="87"/>
      <c r="H918" s="87"/>
    </row>
    <row r="919">
      <c r="G919" s="87"/>
      <c r="H919" s="87"/>
    </row>
    <row r="920">
      <c r="G920" s="87"/>
      <c r="H920" s="87"/>
    </row>
    <row r="921">
      <c r="G921" s="87"/>
      <c r="H921" s="87"/>
    </row>
    <row r="922">
      <c r="G922" s="87"/>
      <c r="H922" s="87"/>
    </row>
    <row r="923">
      <c r="G923" s="87"/>
      <c r="H923" s="87"/>
    </row>
    <row r="924">
      <c r="G924" s="87"/>
      <c r="H924" s="87"/>
    </row>
    <row r="925">
      <c r="G925" s="87"/>
      <c r="H925" s="87"/>
    </row>
    <row r="926">
      <c r="G926" s="87"/>
      <c r="H926" s="87"/>
    </row>
    <row r="927">
      <c r="G927" s="87"/>
      <c r="H927" s="87"/>
    </row>
    <row r="928">
      <c r="G928" s="87"/>
      <c r="H928" s="87"/>
    </row>
    <row r="929">
      <c r="G929" s="87"/>
      <c r="H929" s="87"/>
    </row>
    <row r="930">
      <c r="G930" s="87"/>
      <c r="H930" s="87"/>
    </row>
    <row r="931">
      <c r="G931" s="87"/>
      <c r="H931" s="87"/>
    </row>
    <row r="932">
      <c r="G932" s="87"/>
      <c r="H932" s="87"/>
    </row>
    <row r="933">
      <c r="G933" s="87"/>
      <c r="H933" s="87"/>
    </row>
    <row r="934">
      <c r="G934" s="87"/>
      <c r="H934" s="87"/>
    </row>
    <row r="935">
      <c r="G935" s="87"/>
      <c r="H935" s="87"/>
    </row>
    <row r="936">
      <c r="G936" s="87"/>
      <c r="H936" s="87"/>
    </row>
    <row r="937">
      <c r="G937" s="87"/>
      <c r="H937" s="87"/>
    </row>
    <row r="938">
      <c r="G938" s="87"/>
      <c r="H938" s="87"/>
    </row>
    <row r="939">
      <c r="G939" s="87"/>
      <c r="H939" s="87"/>
    </row>
    <row r="940">
      <c r="G940" s="87"/>
      <c r="H940" s="87"/>
    </row>
    <row r="941">
      <c r="G941" s="87"/>
      <c r="H941" s="87"/>
    </row>
    <row r="942">
      <c r="G942" s="87"/>
      <c r="H942" s="87"/>
    </row>
    <row r="943">
      <c r="G943" s="87"/>
      <c r="H943" s="87"/>
    </row>
    <row r="944">
      <c r="G944" s="87"/>
      <c r="H944" s="87"/>
    </row>
    <row r="945">
      <c r="G945" s="87"/>
      <c r="H945" s="87"/>
    </row>
    <row r="946">
      <c r="G946" s="87"/>
      <c r="H946" s="87"/>
    </row>
    <row r="947">
      <c r="G947" s="87"/>
      <c r="H947" s="87"/>
    </row>
    <row r="948">
      <c r="G948" s="87"/>
      <c r="H948" s="87"/>
    </row>
    <row r="949">
      <c r="G949" s="87"/>
      <c r="H949" s="87"/>
    </row>
    <row r="950">
      <c r="G950" s="87"/>
      <c r="H950" s="87"/>
    </row>
    <row r="951">
      <c r="G951" s="87"/>
      <c r="H951" s="87"/>
    </row>
    <row r="952">
      <c r="G952" s="87"/>
      <c r="H952" s="87"/>
    </row>
    <row r="953">
      <c r="G953" s="87"/>
      <c r="H953" s="87"/>
    </row>
    <row r="954">
      <c r="G954" s="87"/>
      <c r="H954" s="87"/>
    </row>
    <row r="955">
      <c r="G955" s="87"/>
      <c r="H955" s="87"/>
    </row>
    <row r="956">
      <c r="G956" s="87"/>
      <c r="H956" s="87"/>
    </row>
    <row r="957">
      <c r="G957" s="87"/>
      <c r="H957" s="87"/>
    </row>
    <row r="958">
      <c r="G958" s="87"/>
      <c r="H958" s="87"/>
    </row>
    <row r="959">
      <c r="G959" s="87"/>
      <c r="H959" s="87"/>
    </row>
    <row r="960">
      <c r="G960" s="87"/>
      <c r="H960" s="87"/>
    </row>
    <row r="961">
      <c r="G961" s="87"/>
      <c r="H961" s="87"/>
    </row>
    <row r="962">
      <c r="G962" s="87"/>
      <c r="H962" s="87"/>
    </row>
    <row r="963">
      <c r="G963" s="87"/>
      <c r="H963" s="87"/>
    </row>
    <row r="964">
      <c r="G964" s="87"/>
      <c r="H964" s="87"/>
    </row>
    <row r="965">
      <c r="G965" s="87"/>
      <c r="H965" s="87"/>
    </row>
    <row r="966">
      <c r="G966" s="87"/>
      <c r="H966" s="87"/>
    </row>
    <row r="967">
      <c r="G967" s="87"/>
      <c r="H967" s="87"/>
    </row>
    <row r="968">
      <c r="G968" s="87"/>
      <c r="H968" s="87"/>
    </row>
    <row r="969">
      <c r="G969" s="87"/>
      <c r="H969" s="87"/>
    </row>
    <row r="970">
      <c r="G970" s="87"/>
      <c r="H970" s="87"/>
    </row>
    <row r="971">
      <c r="G971" s="87"/>
      <c r="H971" s="87"/>
    </row>
    <row r="972">
      <c r="G972" s="87"/>
      <c r="H972" s="87"/>
    </row>
    <row r="973">
      <c r="G973" s="87"/>
      <c r="H973" s="87"/>
    </row>
    <row r="974">
      <c r="G974" s="87"/>
      <c r="H974" s="87"/>
    </row>
    <row r="975">
      <c r="G975" s="87"/>
      <c r="H975" s="87"/>
    </row>
    <row r="976">
      <c r="G976" s="87"/>
      <c r="H976" s="87"/>
    </row>
    <row r="977">
      <c r="G977" s="87"/>
      <c r="H977" s="87"/>
    </row>
    <row r="978">
      <c r="G978" s="87"/>
      <c r="H978" s="87"/>
    </row>
    <row r="979">
      <c r="G979" s="87"/>
      <c r="H979" s="87"/>
    </row>
    <row r="980">
      <c r="G980" s="87"/>
      <c r="H980" s="87"/>
    </row>
    <row r="981">
      <c r="G981" s="87"/>
      <c r="H981" s="87"/>
    </row>
    <row r="982">
      <c r="G982" s="87"/>
      <c r="H982" s="87"/>
    </row>
    <row r="983">
      <c r="G983" s="87"/>
      <c r="H983" s="87"/>
    </row>
    <row r="984">
      <c r="G984" s="87"/>
      <c r="H984" s="87"/>
    </row>
    <row r="985">
      <c r="G985" s="87"/>
      <c r="H985" s="87"/>
    </row>
    <row r="986">
      <c r="G986" s="87"/>
      <c r="H986" s="87"/>
    </row>
    <row r="987">
      <c r="G987" s="87"/>
      <c r="H987" s="87"/>
    </row>
    <row r="988">
      <c r="G988" s="87"/>
      <c r="H988" s="87"/>
    </row>
    <row r="989">
      <c r="G989" s="87"/>
      <c r="H989" s="87"/>
    </row>
    <row r="990">
      <c r="G990" s="87"/>
      <c r="H990" s="87"/>
    </row>
    <row r="991">
      <c r="G991" s="87"/>
      <c r="H991" s="87"/>
    </row>
    <row r="992">
      <c r="G992" s="87"/>
      <c r="H992" s="87"/>
    </row>
    <row r="993">
      <c r="G993" s="87"/>
      <c r="H993" s="87"/>
    </row>
    <row r="994">
      <c r="G994" s="87"/>
      <c r="H994" s="87"/>
    </row>
    <row r="995">
      <c r="G995" s="87"/>
      <c r="H995" s="87"/>
    </row>
    <row r="996">
      <c r="G996" s="87"/>
      <c r="H996" s="87"/>
    </row>
    <row r="997">
      <c r="G997" s="87"/>
      <c r="H997" s="87"/>
    </row>
    <row r="998">
      <c r="G998" s="87"/>
      <c r="H998" s="87"/>
    </row>
    <row r="999">
      <c r="G999" s="87"/>
      <c r="H999" s="87"/>
    </row>
    <row r="1000">
      <c r="G1000" s="87"/>
      <c r="H1000" s="87"/>
    </row>
  </sheetData>
  <autoFilter ref="$A$1:$H$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2" max="2" width="27.63"/>
    <col customWidth="1" min="3" max="3" width="11.38"/>
    <col customWidth="1" min="4" max="4" width="13.88"/>
    <col customWidth="1" min="5" max="6" width="22.63"/>
    <col customWidth="1" min="7" max="7" width="13.88"/>
    <col customWidth="1" min="8" max="9" width="12.63"/>
    <col customWidth="1" min="10" max="11" width="18.88"/>
  </cols>
  <sheetData>
    <row r="1">
      <c r="A1" s="79" t="s">
        <v>148</v>
      </c>
      <c r="B1" s="79" t="s">
        <v>135</v>
      </c>
      <c r="C1" s="79" t="s">
        <v>136</v>
      </c>
      <c r="D1" s="79" t="s">
        <v>134</v>
      </c>
      <c r="E1" s="79" t="s">
        <v>149</v>
      </c>
      <c r="F1" s="79" t="s">
        <v>150</v>
      </c>
      <c r="G1" s="81" t="s">
        <v>151</v>
      </c>
      <c r="H1" s="79" t="s">
        <v>7</v>
      </c>
      <c r="I1" s="79" t="s">
        <v>8</v>
      </c>
      <c r="J1" s="82" t="s">
        <v>139</v>
      </c>
      <c r="K1" s="82" t="s">
        <v>140</v>
      </c>
    </row>
    <row r="2">
      <c r="A2" s="80" t="s">
        <v>152</v>
      </c>
      <c r="B2" s="80" t="s">
        <v>142</v>
      </c>
      <c r="C2" s="83">
        <v>3.0</v>
      </c>
      <c r="D2" s="80" t="s">
        <v>20</v>
      </c>
      <c r="G2" s="84">
        <v>46098.0</v>
      </c>
      <c r="H2" s="80" t="s">
        <v>29</v>
      </c>
      <c r="I2" s="80" t="s">
        <v>30</v>
      </c>
      <c r="J2" s="85">
        <v>46099.4083687963</v>
      </c>
      <c r="K2" s="85">
        <v>46099.4083687963</v>
      </c>
    </row>
    <row r="3">
      <c r="A3" s="80" t="s">
        <v>153</v>
      </c>
      <c r="B3" s="80" t="s">
        <v>143</v>
      </c>
      <c r="C3" s="83">
        <v>4.0</v>
      </c>
      <c r="D3" s="80" t="s">
        <v>20</v>
      </c>
      <c r="G3" s="84">
        <v>46098.0</v>
      </c>
      <c r="H3" s="80" t="s">
        <v>36</v>
      </c>
      <c r="I3" s="80" t="s">
        <v>37</v>
      </c>
      <c r="J3" s="85">
        <v>46099.4083687963</v>
      </c>
      <c r="K3" s="85">
        <v>46099.4083687963</v>
      </c>
    </row>
    <row r="4">
      <c r="G4" s="86"/>
      <c r="J4" s="87"/>
      <c r="K4" s="87"/>
    </row>
    <row r="5">
      <c r="G5" s="86"/>
      <c r="J5" s="87"/>
      <c r="K5" s="87"/>
    </row>
    <row r="6">
      <c r="G6" s="86"/>
      <c r="J6" s="87"/>
      <c r="K6" s="87"/>
    </row>
    <row r="7">
      <c r="G7" s="86"/>
      <c r="J7" s="87"/>
      <c r="K7" s="87"/>
    </row>
    <row r="8">
      <c r="G8" s="86"/>
      <c r="J8" s="87"/>
      <c r="K8" s="87"/>
    </row>
    <row r="9">
      <c r="G9" s="86"/>
      <c r="J9" s="87"/>
      <c r="K9" s="87"/>
    </row>
    <row r="10">
      <c r="G10" s="86"/>
      <c r="J10" s="87"/>
      <c r="K10" s="87"/>
    </row>
    <row r="11">
      <c r="G11" s="86"/>
      <c r="J11" s="87"/>
      <c r="K11" s="87"/>
    </row>
    <row r="12">
      <c r="G12" s="86"/>
      <c r="J12" s="87"/>
      <c r="K12" s="87"/>
    </row>
    <row r="13">
      <c r="G13" s="86"/>
      <c r="J13" s="87"/>
      <c r="K13" s="87"/>
    </row>
    <row r="14">
      <c r="G14" s="86"/>
      <c r="J14" s="87"/>
      <c r="K14" s="87"/>
    </row>
    <row r="15">
      <c r="G15" s="86"/>
      <c r="J15" s="87"/>
      <c r="K15" s="87"/>
    </row>
    <row r="16">
      <c r="G16" s="86"/>
      <c r="J16" s="87"/>
      <c r="K16" s="87"/>
    </row>
    <row r="17">
      <c r="G17" s="86"/>
      <c r="J17" s="87"/>
      <c r="K17" s="87"/>
    </row>
    <row r="18">
      <c r="G18" s="86"/>
      <c r="J18" s="87"/>
      <c r="K18" s="87"/>
    </row>
    <row r="19">
      <c r="G19" s="86"/>
      <c r="J19" s="87"/>
      <c r="K19" s="87"/>
    </row>
    <row r="20">
      <c r="G20" s="86"/>
      <c r="J20" s="87"/>
      <c r="K20" s="87"/>
    </row>
    <row r="21">
      <c r="G21" s="86"/>
      <c r="J21" s="87"/>
      <c r="K21" s="87"/>
    </row>
    <row r="22">
      <c r="G22" s="86"/>
      <c r="J22" s="87"/>
      <c r="K22" s="87"/>
    </row>
    <row r="23">
      <c r="G23" s="86"/>
      <c r="J23" s="87"/>
      <c r="K23" s="87"/>
    </row>
    <row r="24">
      <c r="G24" s="86"/>
      <c r="J24" s="87"/>
      <c r="K24" s="87"/>
    </row>
    <row r="25">
      <c r="G25" s="86"/>
      <c r="J25" s="87"/>
      <c r="K25" s="87"/>
    </row>
    <row r="26">
      <c r="G26" s="86"/>
      <c r="J26" s="87"/>
      <c r="K26" s="87"/>
    </row>
    <row r="27">
      <c r="G27" s="86"/>
      <c r="J27" s="87"/>
      <c r="K27" s="87"/>
    </row>
    <row r="28">
      <c r="G28" s="86"/>
      <c r="J28" s="87"/>
      <c r="K28" s="87"/>
    </row>
    <row r="29">
      <c r="G29" s="86"/>
      <c r="J29" s="87"/>
      <c r="K29" s="87"/>
    </row>
    <row r="30">
      <c r="G30" s="86"/>
      <c r="J30" s="87"/>
      <c r="K30" s="87"/>
    </row>
    <row r="31">
      <c r="G31" s="86"/>
      <c r="J31" s="87"/>
      <c r="K31" s="87"/>
    </row>
    <row r="32">
      <c r="G32" s="86"/>
      <c r="J32" s="87"/>
      <c r="K32" s="87"/>
    </row>
    <row r="33">
      <c r="G33" s="86"/>
      <c r="J33" s="87"/>
      <c r="K33" s="87"/>
    </row>
    <row r="34">
      <c r="G34" s="86"/>
      <c r="J34" s="87"/>
      <c r="K34" s="87"/>
    </row>
    <row r="35">
      <c r="G35" s="86"/>
      <c r="J35" s="87"/>
      <c r="K35" s="87"/>
    </row>
    <row r="36">
      <c r="G36" s="86"/>
      <c r="J36" s="87"/>
      <c r="K36" s="87"/>
    </row>
    <row r="37">
      <c r="G37" s="86"/>
      <c r="J37" s="87"/>
      <c r="K37" s="87"/>
    </row>
    <row r="38">
      <c r="G38" s="86"/>
      <c r="J38" s="87"/>
      <c r="K38" s="87"/>
    </row>
    <row r="39">
      <c r="G39" s="86"/>
      <c r="J39" s="87"/>
      <c r="K39" s="87"/>
    </row>
    <row r="40">
      <c r="G40" s="86"/>
      <c r="J40" s="87"/>
      <c r="K40" s="87"/>
    </row>
    <row r="41">
      <c r="G41" s="86"/>
      <c r="J41" s="87"/>
      <c r="K41" s="87"/>
    </row>
    <row r="42">
      <c r="G42" s="86"/>
      <c r="J42" s="87"/>
      <c r="K42" s="87"/>
    </row>
    <row r="43">
      <c r="G43" s="86"/>
      <c r="J43" s="87"/>
      <c r="K43" s="87"/>
    </row>
    <row r="44">
      <c r="G44" s="86"/>
      <c r="J44" s="87"/>
      <c r="K44" s="87"/>
    </row>
    <row r="45">
      <c r="G45" s="86"/>
      <c r="J45" s="87"/>
      <c r="K45" s="87"/>
    </row>
    <row r="46">
      <c r="G46" s="86"/>
      <c r="J46" s="87"/>
      <c r="K46" s="87"/>
    </row>
    <row r="47">
      <c r="G47" s="86"/>
      <c r="J47" s="87"/>
      <c r="K47" s="87"/>
    </row>
    <row r="48">
      <c r="G48" s="86"/>
      <c r="J48" s="87"/>
      <c r="K48" s="87"/>
    </row>
    <row r="49">
      <c r="G49" s="86"/>
      <c r="J49" s="87"/>
      <c r="K49" s="87"/>
    </row>
    <row r="50">
      <c r="G50" s="86"/>
      <c r="J50" s="87"/>
      <c r="K50" s="87"/>
    </row>
    <row r="51">
      <c r="G51" s="86"/>
      <c r="J51" s="87"/>
      <c r="K51" s="87"/>
    </row>
    <row r="52">
      <c r="G52" s="86"/>
      <c r="J52" s="87"/>
      <c r="K52" s="87"/>
    </row>
    <row r="53">
      <c r="G53" s="86"/>
      <c r="J53" s="87"/>
      <c r="K53" s="87"/>
    </row>
    <row r="54">
      <c r="G54" s="86"/>
      <c r="J54" s="87"/>
      <c r="K54" s="87"/>
    </row>
    <row r="55">
      <c r="G55" s="86"/>
      <c r="J55" s="87"/>
      <c r="K55" s="87"/>
    </row>
    <row r="56">
      <c r="G56" s="86"/>
      <c r="J56" s="87"/>
      <c r="K56" s="87"/>
    </row>
    <row r="57">
      <c r="G57" s="86"/>
      <c r="J57" s="87"/>
      <c r="K57" s="87"/>
    </row>
    <row r="58">
      <c r="G58" s="86"/>
      <c r="J58" s="87"/>
      <c r="K58" s="87"/>
    </row>
    <row r="59">
      <c r="G59" s="86"/>
      <c r="J59" s="87"/>
      <c r="K59" s="87"/>
    </row>
    <row r="60">
      <c r="G60" s="86"/>
      <c r="J60" s="87"/>
      <c r="K60" s="87"/>
    </row>
    <row r="61">
      <c r="G61" s="86"/>
      <c r="J61" s="87"/>
      <c r="K61" s="87"/>
    </row>
    <row r="62">
      <c r="G62" s="86"/>
      <c r="J62" s="87"/>
      <c r="K62" s="87"/>
    </row>
    <row r="63">
      <c r="G63" s="86"/>
      <c r="J63" s="87"/>
      <c r="K63" s="87"/>
    </row>
    <row r="64">
      <c r="G64" s="86"/>
      <c r="J64" s="87"/>
      <c r="K64" s="87"/>
    </row>
    <row r="65">
      <c r="G65" s="86"/>
      <c r="J65" s="87"/>
      <c r="K65" s="87"/>
    </row>
    <row r="66">
      <c r="G66" s="86"/>
      <c r="J66" s="87"/>
      <c r="K66" s="87"/>
    </row>
    <row r="67">
      <c r="G67" s="86"/>
      <c r="J67" s="87"/>
      <c r="K67" s="87"/>
    </row>
    <row r="68">
      <c r="G68" s="86"/>
      <c r="J68" s="87"/>
      <c r="K68" s="87"/>
    </row>
    <row r="69">
      <c r="G69" s="86"/>
      <c r="J69" s="87"/>
      <c r="K69" s="87"/>
    </row>
    <row r="70">
      <c r="G70" s="86"/>
      <c r="J70" s="87"/>
      <c r="K70" s="87"/>
    </row>
    <row r="71">
      <c r="G71" s="86"/>
      <c r="J71" s="87"/>
      <c r="K71" s="87"/>
    </row>
    <row r="72">
      <c r="G72" s="86"/>
      <c r="J72" s="87"/>
      <c r="K72" s="87"/>
    </row>
    <row r="73">
      <c r="G73" s="86"/>
      <c r="J73" s="87"/>
      <c r="K73" s="87"/>
    </row>
    <row r="74">
      <c r="G74" s="86"/>
      <c r="J74" s="87"/>
      <c r="K74" s="87"/>
    </row>
    <row r="75">
      <c r="G75" s="86"/>
      <c r="J75" s="87"/>
      <c r="K75" s="87"/>
    </row>
    <row r="76">
      <c r="G76" s="86"/>
      <c r="J76" s="87"/>
      <c r="K76" s="87"/>
    </row>
    <row r="77">
      <c r="G77" s="86"/>
      <c r="J77" s="87"/>
      <c r="K77" s="87"/>
    </row>
    <row r="78">
      <c r="G78" s="86"/>
      <c r="J78" s="87"/>
      <c r="K78" s="87"/>
    </row>
    <row r="79">
      <c r="G79" s="86"/>
      <c r="J79" s="87"/>
      <c r="K79" s="87"/>
    </row>
    <row r="80">
      <c r="G80" s="86"/>
      <c r="J80" s="87"/>
      <c r="K80" s="87"/>
    </row>
    <row r="81">
      <c r="G81" s="86"/>
      <c r="J81" s="87"/>
      <c r="K81" s="87"/>
    </row>
    <row r="82">
      <c r="G82" s="86"/>
      <c r="J82" s="87"/>
      <c r="K82" s="87"/>
    </row>
    <row r="83">
      <c r="G83" s="86"/>
      <c r="J83" s="87"/>
      <c r="K83" s="87"/>
    </row>
    <row r="84">
      <c r="G84" s="86"/>
      <c r="J84" s="87"/>
      <c r="K84" s="87"/>
    </row>
    <row r="85">
      <c r="G85" s="86"/>
      <c r="J85" s="87"/>
      <c r="K85" s="87"/>
    </row>
    <row r="86">
      <c r="G86" s="86"/>
      <c r="J86" s="87"/>
      <c r="K86" s="87"/>
    </row>
    <row r="87">
      <c r="G87" s="86"/>
      <c r="J87" s="87"/>
      <c r="K87" s="87"/>
    </row>
    <row r="88">
      <c r="G88" s="86"/>
      <c r="J88" s="87"/>
      <c r="K88" s="87"/>
    </row>
    <row r="89">
      <c r="G89" s="86"/>
      <c r="J89" s="87"/>
      <c r="K89" s="87"/>
    </row>
    <row r="90">
      <c r="G90" s="86"/>
      <c r="J90" s="87"/>
      <c r="K90" s="87"/>
    </row>
    <row r="91">
      <c r="G91" s="86"/>
      <c r="J91" s="87"/>
      <c r="K91" s="87"/>
    </row>
    <row r="92">
      <c r="G92" s="86"/>
      <c r="J92" s="87"/>
      <c r="K92" s="87"/>
    </row>
    <row r="93">
      <c r="G93" s="86"/>
      <c r="J93" s="87"/>
      <c r="K93" s="87"/>
    </row>
    <row r="94">
      <c r="G94" s="86"/>
      <c r="J94" s="87"/>
      <c r="K94" s="87"/>
    </row>
    <row r="95">
      <c r="G95" s="86"/>
      <c r="J95" s="87"/>
      <c r="K95" s="87"/>
    </row>
    <row r="96">
      <c r="G96" s="86"/>
      <c r="J96" s="87"/>
      <c r="K96" s="87"/>
    </row>
    <row r="97">
      <c r="G97" s="86"/>
      <c r="J97" s="87"/>
      <c r="K97" s="87"/>
    </row>
    <row r="98">
      <c r="G98" s="86"/>
      <c r="J98" s="87"/>
      <c r="K98" s="87"/>
    </row>
    <row r="99">
      <c r="G99" s="86"/>
      <c r="J99" s="87"/>
      <c r="K99" s="87"/>
    </row>
    <row r="100">
      <c r="G100" s="86"/>
      <c r="J100" s="87"/>
      <c r="K100" s="87"/>
    </row>
    <row r="101">
      <c r="G101" s="86"/>
      <c r="J101" s="87"/>
      <c r="K101" s="87"/>
    </row>
    <row r="102">
      <c r="G102" s="86"/>
      <c r="J102" s="87"/>
      <c r="K102" s="87"/>
    </row>
    <row r="103">
      <c r="G103" s="86"/>
      <c r="J103" s="87"/>
      <c r="K103" s="87"/>
    </row>
    <row r="104">
      <c r="G104" s="86"/>
      <c r="J104" s="87"/>
      <c r="K104" s="87"/>
    </row>
    <row r="105">
      <c r="G105" s="86"/>
      <c r="J105" s="87"/>
      <c r="K105" s="87"/>
    </row>
    <row r="106">
      <c r="G106" s="86"/>
      <c r="J106" s="87"/>
      <c r="K106" s="87"/>
    </row>
    <row r="107">
      <c r="G107" s="86"/>
      <c r="J107" s="87"/>
      <c r="K107" s="87"/>
    </row>
    <row r="108">
      <c r="G108" s="86"/>
      <c r="J108" s="87"/>
      <c r="K108" s="87"/>
    </row>
    <row r="109">
      <c r="G109" s="86"/>
      <c r="J109" s="87"/>
      <c r="K109" s="87"/>
    </row>
    <row r="110">
      <c r="G110" s="86"/>
      <c r="J110" s="87"/>
      <c r="K110" s="87"/>
    </row>
    <row r="111">
      <c r="G111" s="86"/>
      <c r="J111" s="87"/>
      <c r="K111" s="87"/>
    </row>
    <row r="112">
      <c r="G112" s="86"/>
      <c r="J112" s="87"/>
      <c r="K112" s="87"/>
    </row>
    <row r="113">
      <c r="G113" s="86"/>
      <c r="J113" s="87"/>
      <c r="K113" s="87"/>
    </row>
    <row r="114">
      <c r="G114" s="86"/>
      <c r="J114" s="87"/>
      <c r="K114" s="87"/>
    </row>
    <row r="115">
      <c r="G115" s="86"/>
      <c r="J115" s="87"/>
      <c r="K115" s="87"/>
    </row>
    <row r="116">
      <c r="G116" s="86"/>
      <c r="J116" s="87"/>
      <c r="K116" s="87"/>
    </row>
    <row r="117">
      <c r="G117" s="86"/>
      <c r="J117" s="87"/>
      <c r="K117" s="87"/>
    </row>
    <row r="118">
      <c r="G118" s="86"/>
      <c r="J118" s="87"/>
      <c r="K118" s="87"/>
    </row>
    <row r="119">
      <c r="G119" s="86"/>
      <c r="J119" s="87"/>
      <c r="K119" s="87"/>
    </row>
    <row r="120">
      <c r="G120" s="86"/>
      <c r="J120" s="87"/>
      <c r="K120" s="87"/>
    </row>
    <row r="121">
      <c r="G121" s="86"/>
      <c r="J121" s="87"/>
      <c r="K121" s="87"/>
    </row>
    <row r="122">
      <c r="G122" s="86"/>
      <c r="J122" s="87"/>
      <c r="K122" s="87"/>
    </row>
    <row r="123">
      <c r="G123" s="86"/>
      <c r="J123" s="87"/>
      <c r="K123" s="87"/>
    </row>
    <row r="124">
      <c r="G124" s="86"/>
      <c r="J124" s="87"/>
      <c r="K124" s="87"/>
    </row>
    <row r="125">
      <c r="G125" s="86"/>
      <c r="J125" s="87"/>
      <c r="K125" s="87"/>
    </row>
    <row r="126">
      <c r="G126" s="86"/>
      <c r="J126" s="87"/>
      <c r="K126" s="87"/>
    </row>
    <row r="127">
      <c r="G127" s="86"/>
      <c r="J127" s="87"/>
      <c r="K127" s="87"/>
    </row>
    <row r="128">
      <c r="G128" s="86"/>
      <c r="J128" s="87"/>
      <c r="K128" s="87"/>
    </row>
    <row r="129">
      <c r="G129" s="86"/>
      <c r="J129" s="87"/>
      <c r="K129" s="87"/>
    </row>
    <row r="130">
      <c r="G130" s="86"/>
      <c r="J130" s="87"/>
      <c r="K130" s="87"/>
    </row>
    <row r="131">
      <c r="G131" s="86"/>
      <c r="J131" s="87"/>
      <c r="K131" s="87"/>
    </row>
    <row r="132">
      <c r="G132" s="86"/>
      <c r="J132" s="87"/>
      <c r="K132" s="87"/>
    </row>
    <row r="133">
      <c r="G133" s="86"/>
      <c r="J133" s="87"/>
      <c r="K133" s="87"/>
    </row>
    <row r="134">
      <c r="G134" s="86"/>
      <c r="J134" s="87"/>
      <c r="K134" s="87"/>
    </row>
    <row r="135">
      <c r="G135" s="86"/>
      <c r="J135" s="87"/>
      <c r="K135" s="87"/>
    </row>
    <row r="136">
      <c r="G136" s="86"/>
      <c r="J136" s="87"/>
      <c r="K136" s="87"/>
    </row>
    <row r="137">
      <c r="G137" s="86"/>
      <c r="J137" s="87"/>
      <c r="K137" s="87"/>
    </row>
    <row r="138">
      <c r="G138" s="86"/>
      <c r="J138" s="87"/>
      <c r="K138" s="87"/>
    </row>
    <row r="139">
      <c r="G139" s="86"/>
      <c r="J139" s="87"/>
      <c r="K139" s="87"/>
    </row>
    <row r="140">
      <c r="G140" s="86"/>
      <c r="J140" s="87"/>
      <c r="K140" s="87"/>
    </row>
    <row r="141">
      <c r="G141" s="86"/>
      <c r="J141" s="87"/>
      <c r="K141" s="87"/>
    </row>
    <row r="142">
      <c r="G142" s="86"/>
      <c r="J142" s="87"/>
      <c r="K142" s="87"/>
    </row>
    <row r="143">
      <c r="G143" s="86"/>
      <c r="J143" s="87"/>
      <c r="K143" s="87"/>
    </row>
    <row r="144">
      <c r="G144" s="86"/>
      <c r="J144" s="87"/>
      <c r="K144" s="87"/>
    </row>
    <row r="145">
      <c r="G145" s="86"/>
      <c r="J145" s="87"/>
      <c r="K145" s="87"/>
    </row>
    <row r="146">
      <c r="G146" s="86"/>
      <c r="J146" s="87"/>
      <c r="K146" s="87"/>
    </row>
    <row r="147">
      <c r="G147" s="86"/>
      <c r="J147" s="87"/>
      <c r="K147" s="87"/>
    </row>
    <row r="148">
      <c r="G148" s="86"/>
      <c r="J148" s="87"/>
      <c r="K148" s="87"/>
    </row>
    <row r="149">
      <c r="G149" s="86"/>
      <c r="J149" s="87"/>
      <c r="K149" s="87"/>
    </row>
    <row r="150">
      <c r="G150" s="86"/>
      <c r="J150" s="87"/>
      <c r="K150" s="87"/>
    </row>
    <row r="151">
      <c r="G151" s="86"/>
      <c r="J151" s="87"/>
      <c r="K151" s="87"/>
    </row>
    <row r="152">
      <c r="G152" s="86"/>
      <c r="J152" s="87"/>
      <c r="K152" s="87"/>
    </row>
    <row r="153">
      <c r="G153" s="86"/>
      <c r="J153" s="87"/>
      <c r="K153" s="87"/>
    </row>
    <row r="154">
      <c r="G154" s="86"/>
      <c r="J154" s="87"/>
      <c r="K154" s="87"/>
    </row>
    <row r="155">
      <c r="G155" s="86"/>
      <c r="J155" s="87"/>
      <c r="K155" s="87"/>
    </row>
    <row r="156">
      <c r="G156" s="86"/>
      <c r="J156" s="87"/>
      <c r="K156" s="87"/>
    </row>
    <row r="157">
      <c r="G157" s="86"/>
      <c r="J157" s="87"/>
      <c r="K157" s="87"/>
    </row>
    <row r="158">
      <c r="G158" s="86"/>
      <c r="J158" s="87"/>
      <c r="K158" s="87"/>
    </row>
    <row r="159">
      <c r="G159" s="86"/>
      <c r="J159" s="87"/>
      <c r="K159" s="87"/>
    </row>
    <row r="160">
      <c r="G160" s="86"/>
      <c r="J160" s="87"/>
      <c r="K160" s="87"/>
    </row>
    <row r="161">
      <c r="G161" s="86"/>
      <c r="J161" s="87"/>
      <c r="K161" s="87"/>
    </row>
    <row r="162">
      <c r="G162" s="86"/>
      <c r="J162" s="87"/>
      <c r="K162" s="87"/>
    </row>
    <row r="163">
      <c r="G163" s="86"/>
      <c r="J163" s="87"/>
      <c r="K163" s="87"/>
    </row>
    <row r="164">
      <c r="G164" s="86"/>
      <c r="J164" s="87"/>
      <c r="K164" s="87"/>
    </row>
    <row r="165">
      <c r="G165" s="86"/>
      <c r="J165" s="87"/>
      <c r="K165" s="87"/>
    </row>
    <row r="166">
      <c r="G166" s="86"/>
      <c r="J166" s="87"/>
      <c r="K166" s="87"/>
    </row>
    <row r="167">
      <c r="G167" s="86"/>
      <c r="J167" s="87"/>
      <c r="K167" s="87"/>
    </row>
    <row r="168">
      <c r="G168" s="86"/>
      <c r="J168" s="87"/>
      <c r="K168" s="87"/>
    </row>
    <row r="169">
      <c r="G169" s="86"/>
      <c r="J169" s="87"/>
      <c r="K169" s="87"/>
    </row>
    <row r="170">
      <c r="G170" s="86"/>
      <c r="J170" s="87"/>
      <c r="K170" s="87"/>
    </row>
    <row r="171">
      <c r="G171" s="86"/>
      <c r="J171" s="87"/>
      <c r="K171" s="87"/>
    </row>
    <row r="172">
      <c r="G172" s="86"/>
      <c r="J172" s="87"/>
      <c r="K172" s="87"/>
    </row>
    <row r="173">
      <c r="G173" s="86"/>
      <c r="J173" s="87"/>
      <c r="K173" s="87"/>
    </row>
    <row r="174">
      <c r="G174" s="86"/>
      <c r="J174" s="87"/>
      <c r="K174" s="87"/>
    </row>
    <row r="175">
      <c r="G175" s="86"/>
      <c r="J175" s="87"/>
      <c r="K175" s="87"/>
    </row>
    <row r="176">
      <c r="G176" s="86"/>
      <c r="J176" s="87"/>
      <c r="K176" s="87"/>
    </row>
    <row r="177">
      <c r="G177" s="86"/>
      <c r="J177" s="87"/>
      <c r="K177" s="87"/>
    </row>
    <row r="178">
      <c r="G178" s="86"/>
      <c r="J178" s="87"/>
      <c r="K178" s="87"/>
    </row>
    <row r="179">
      <c r="G179" s="86"/>
      <c r="J179" s="87"/>
      <c r="K179" s="87"/>
    </row>
    <row r="180">
      <c r="G180" s="86"/>
      <c r="J180" s="87"/>
      <c r="K180" s="87"/>
    </row>
    <row r="181">
      <c r="G181" s="86"/>
      <c r="J181" s="87"/>
      <c r="K181" s="87"/>
    </row>
    <row r="182">
      <c r="G182" s="86"/>
      <c r="J182" s="87"/>
      <c r="K182" s="87"/>
    </row>
    <row r="183">
      <c r="G183" s="86"/>
      <c r="J183" s="87"/>
      <c r="K183" s="87"/>
    </row>
    <row r="184">
      <c r="G184" s="86"/>
      <c r="J184" s="87"/>
      <c r="K184" s="87"/>
    </row>
    <row r="185">
      <c r="G185" s="86"/>
      <c r="J185" s="87"/>
      <c r="K185" s="87"/>
    </row>
    <row r="186">
      <c r="G186" s="86"/>
      <c r="J186" s="87"/>
      <c r="K186" s="87"/>
    </row>
    <row r="187">
      <c r="G187" s="86"/>
      <c r="J187" s="87"/>
      <c r="K187" s="87"/>
    </row>
    <row r="188">
      <c r="G188" s="86"/>
      <c r="J188" s="87"/>
      <c r="K188" s="87"/>
    </row>
    <row r="189">
      <c r="G189" s="86"/>
      <c r="J189" s="87"/>
      <c r="K189" s="87"/>
    </row>
    <row r="190">
      <c r="G190" s="86"/>
      <c r="J190" s="87"/>
      <c r="K190" s="87"/>
    </row>
    <row r="191">
      <c r="G191" s="86"/>
      <c r="J191" s="87"/>
      <c r="K191" s="87"/>
    </row>
    <row r="192">
      <c r="G192" s="86"/>
      <c r="J192" s="87"/>
      <c r="K192" s="87"/>
    </row>
    <row r="193">
      <c r="G193" s="86"/>
      <c r="J193" s="87"/>
      <c r="K193" s="87"/>
    </row>
    <row r="194">
      <c r="G194" s="86"/>
      <c r="J194" s="87"/>
      <c r="K194" s="87"/>
    </row>
    <row r="195">
      <c r="G195" s="86"/>
      <c r="J195" s="87"/>
      <c r="K195" s="87"/>
    </row>
    <row r="196">
      <c r="G196" s="86"/>
      <c r="J196" s="87"/>
      <c r="K196" s="87"/>
    </row>
    <row r="197">
      <c r="G197" s="86"/>
      <c r="J197" s="87"/>
      <c r="K197" s="87"/>
    </row>
    <row r="198">
      <c r="G198" s="86"/>
      <c r="J198" s="87"/>
      <c r="K198" s="87"/>
    </row>
    <row r="199">
      <c r="G199" s="86"/>
      <c r="J199" s="87"/>
      <c r="K199" s="87"/>
    </row>
    <row r="200">
      <c r="G200" s="86"/>
      <c r="J200" s="87"/>
      <c r="K200" s="87"/>
    </row>
    <row r="201">
      <c r="G201" s="86"/>
      <c r="J201" s="87"/>
      <c r="K201" s="87"/>
    </row>
    <row r="202">
      <c r="G202" s="86"/>
      <c r="J202" s="87"/>
      <c r="K202" s="87"/>
    </row>
    <row r="203">
      <c r="G203" s="86"/>
      <c r="J203" s="87"/>
      <c r="K203" s="87"/>
    </row>
    <row r="204">
      <c r="G204" s="86"/>
      <c r="J204" s="87"/>
      <c r="K204" s="87"/>
    </row>
    <row r="205">
      <c r="G205" s="86"/>
      <c r="J205" s="87"/>
      <c r="K205" s="87"/>
    </row>
    <row r="206">
      <c r="G206" s="86"/>
      <c r="J206" s="87"/>
      <c r="K206" s="87"/>
    </row>
    <row r="207">
      <c r="G207" s="86"/>
      <c r="J207" s="87"/>
      <c r="K207" s="87"/>
    </row>
    <row r="208">
      <c r="G208" s="86"/>
      <c r="J208" s="87"/>
      <c r="K208" s="87"/>
    </row>
    <row r="209">
      <c r="G209" s="86"/>
      <c r="J209" s="87"/>
      <c r="K209" s="87"/>
    </row>
    <row r="210">
      <c r="G210" s="86"/>
      <c r="J210" s="87"/>
      <c r="K210" s="87"/>
    </row>
    <row r="211">
      <c r="G211" s="86"/>
      <c r="J211" s="87"/>
      <c r="K211" s="87"/>
    </row>
    <row r="212">
      <c r="G212" s="86"/>
      <c r="J212" s="87"/>
      <c r="K212" s="87"/>
    </row>
    <row r="213">
      <c r="G213" s="86"/>
      <c r="J213" s="87"/>
      <c r="K213" s="87"/>
    </row>
    <row r="214">
      <c r="G214" s="86"/>
      <c r="J214" s="87"/>
      <c r="K214" s="87"/>
    </row>
    <row r="215">
      <c r="G215" s="86"/>
      <c r="J215" s="87"/>
      <c r="K215" s="87"/>
    </row>
    <row r="216">
      <c r="G216" s="86"/>
      <c r="J216" s="87"/>
      <c r="K216" s="87"/>
    </row>
    <row r="217">
      <c r="G217" s="86"/>
      <c r="J217" s="87"/>
      <c r="K217" s="87"/>
    </row>
    <row r="218">
      <c r="G218" s="86"/>
      <c r="J218" s="87"/>
      <c r="K218" s="87"/>
    </row>
    <row r="219">
      <c r="G219" s="86"/>
      <c r="J219" s="87"/>
      <c r="K219" s="87"/>
    </row>
    <row r="220">
      <c r="G220" s="86"/>
      <c r="J220" s="87"/>
      <c r="K220" s="87"/>
    </row>
    <row r="221">
      <c r="G221" s="86"/>
      <c r="J221" s="87"/>
      <c r="K221" s="87"/>
    </row>
    <row r="222">
      <c r="G222" s="86"/>
      <c r="J222" s="87"/>
      <c r="K222" s="87"/>
    </row>
    <row r="223">
      <c r="G223" s="86"/>
      <c r="J223" s="87"/>
      <c r="K223" s="87"/>
    </row>
    <row r="224">
      <c r="G224" s="86"/>
      <c r="J224" s="87"/>
      <c r="K224" s="87"/>
    </row>
    <row r="225">
      <c r="G225" s="86"/>
      <c r="J225" s="87"/>
      <c r="K225" s="87"/>
    </row>
    <row r="226">
      <c r="G226" s="86"/>
      <c r="J226" s="87"/>
      <c r="K226" s="87"/>
    </row>
    <row r="227">
      <c r="G227" s="86"/>
      <c r="J227" s="87"/>
      <c r="K227" s="87"/>
    </row>
    <row r="228">
      <c r="G228" s="86"/>
      <c r="J228" s="87"/>
      <c r="K228" s="87"/>
    </row>
    <row r="229">
      <c r="G229" s="86"/>
      <c r="J229" s="87"/>
      <c r="K229" s="87"/>
    </row>
    <row r="230">
      <c r="G230" s="86"/>
      <c r="J230" s="87"/>
      <c r="K230" s="87"/>
    </row>
    <row r="231">
      <c r="G231" s="86"/>
      <c r="J231" s="87"/>
      <c r="K231" s="87"/>
    </row>
    <row r="232">
      <c r="G232" s="86"/>
      <c r="J232" s="87"/>
      <c r="K232" s="87"/>
    </row>
    <row r="233">
      <c r="G233" s="86"/>
      <c r="J233" s="87"/>
      <c r="K233" s="87"/>
    </row>
    <row r="234">
      <c r="G234" s="86"/>
      <c r="J234" s="87"/>
      <c r="K234" s="87"/>
    </row>
    <row r="235">
      <c r="G235" s="86"/>
      <c r="J235" s="87"/>
      <c r="K235" s="87"/>
    </row>
    <row r="236">
      <c r="G236" s="86"/>
      <c r="J236" s="87"/>
      <c r="K236" s="87"/>
    </row>
    <row r="237">
      <c r="G237" s="86"/>
      <c r="J237" s="87"/>
      <c r="K237" s="87"/>
    </row>
    <row r="238">
      <c r="G238" s="86"/>
      <c r="J238" s="87"/>
      <c r="K238" s="87"/>
    </row>
    <row r="239">
      <c r="G239" s="86"/>
      <c r="J239" s="87"/>
      <c r="K239" s="87"/>
    </row>
    <row r="240">
      <c r="G240" s="86"/>
      <c r="J240" s="87"/>
      <c r="K240" s="87"/>
    </row>
    <row r="241">
      <c r="G241" s="86"/>
      <c r="J241" s="87"/>
      <c r="K241" s="87"/>
    </row>
    <row r="242">
      <c r="G242" s="86"/>
      <c r="J242" s="87"/>
      <c r="K242" s="87"/>
    </row>
    <row r="243">
      <c r="G243" s="86"/>
      <c r="J243" s="87"/>
      <c r="K243" s="87"/>
    </row>
    <row r="244">
      <c r="G244" s="86"/>
      <c r="J244" s="87"/>
      <c r="K244" s="87"/>
    </row>
    <row r="245">
      <c r="G245" s="86"/>
      <c r="J245" s="87"/>
      <c r="K245" s="87"/>
    </row>
    <row r="246">
      <c r="G246" s="86"/>
      <c r="J246" s="87"/>
      <c r="K246" s="87"/>
    </row>
    <row r="247">
      <c r="G247" s="86"/>
      <c r="J247" s="87"/>
      <c r="K247" s="87"/>
    </row>
    <row r="248">
      <c r="G248" s="86"/>
      <c r="J248" s="87"/>
      <c r="K248" s="87"/>
    </row>
    <row r="249">
      <c r="G249" s="86"/>
      <c r="J249" s="87"/>
      <c r="K249" s="87"/>
    </row>
    <row r="250">
      <c r="G250" s="86"/>
      <c r="J250" s="87"/>
      <c r="K250" s="87"/>
    </row>
    <row r="251">
      <c r="G251" s="86"/>
      <c r="J251" s="87"/>
      <c r="K251" s="87"/>
    </row>
    <row r="252">
      <c r="G252" s="86"/>
      <c r="J252" s="87"/>
      <c r="K252" s="87"/>
    </row>
    <row r="253">
      <c r="G253" s="86"/>
      <c r="J253" s="87"/>
      <c r="K253" s="87"/>
    </row>
    <row r="254">
      <c r="G254" s="86"/>
      <c r="J254" s="87"/>
      <c r="K254" s="87"/>
    </row>
    <row r="255">
      <c r="G255" s="86"/>
      <c r="J255" s="87"/>
      <c r="K255" s="87"/>
    </row>
    <row r="256">
      <c r="G256" s="86"/>
      <c r="J256" s="87"/>
      <c r="K256" s="87"/>
    </row>
    <row r="257">
      <c r="G257" s="86"/>
      <c r="J257" s="87"/>
      <c r="K257" s="87"/>
    </row>
    <row r="258">
      <c r="G258" s="86"/>
      <c r="J258" s="87"/>
      <c r="K258" s="87"/>
    </row>
    <row r="259">
      <c r="G259" s="86"/>
      <c r="J259" s="87"/>
      <c r="K259" s="87"/>
    </row>
    <row r="260">
      <c r="G260" s="86"/>
      <c r="J260" s="87"/>
      <c r="K260" s="87"/>
    </row>
    <row r="261">
      <c r="G261" s="86"/>
      <c r="J261" s="87"/>
      <c r="K261" s="87"/>
    </row>
    <row r="262">
      <c r="G262" s="86"/>
      <c r="J262" s="87"/>
      <c r="K262" s="87"/>
    </row>
    <row r="263">
      <c r="G263" s="86"/>
      <c r="J263" s="87"/>
      <c r="K263" s="87"/>
    </row>
    <row r="264">
      <c r="G264" s="86"/>
      <c r="J264" s="87"/>
      <c r="K264" s="87"/>
    </row>
    <row r="265">
      <c r="G265" s="86"/>
      <c r="J265" s="87"/>
      <c r="K265" s="87"/>
    </row>
    <row r="266">
      <c r="G266" s="86"/>
      <c r="J266" s="87"/>
      <c r="K266" s="87"/>
    </row>
    <row r="267">
      <c r="G267" s="86"/>
      <c r="J267" s="87"/>
      <c r="K267" s="87"/>
    </row>
    <row r="268">
      <c r="G268" s="86"/>
      <c r="J268" s="87"/>
      <c r="K268" s="87"/>
    </row>
    <row r="269">
      <c r="G269" s="86"/>
      <c r="J269" s="87"/>
      <c r="K269" s="87"/>
    </row>
    <row r="270">
      <c r="G270" s="86"/>
      <c r="J270" s="87"/>
      <c r="K270" s="87"/>
    </row>
    <row r="271">
      <c r="G271" s="86"/>
      <c r="J271" s="87"/>
      <c r="K271" s="87"/>
    </row>
    <row r="272">
      <c r="G272" s="86"/>
      <c r="J272" s="87"/>
      <c r="K272" s="87"/>
    </row>
    <row r="273">
      <c r="G273" s="86"/>
      <c r="J273" s="87"/>
      <c r="K273" s="87"/>
    </row>
    <row r="274">
      <c r="G274" s="86"/>
      <c r="J274" s="87"/>
      <c r="K274" s="87"/>
    </row>
    <row r="275">
      <c r="G275" s="86"/>
      <c r="J275" s="87"/>
      <c r="K275" s="87"/>
    </row>
    <row r="276">
      <c r="G276" s="86"/>
      <c r="J276" s="87"/>
      <c r="K276" s="87"/>
    </row>
    <row r="277">
      <c r="G277" s="86"/>
      <c r="J277" s="87"/>
      <c r="K277" s="87"/>
    </row>
    <row r="278">
      <c r="G278" s="86"/>
      <c r="J278" s="87"/>
      <c r="K278" s="87"/>
    </row>
    <row r="279">
      <c r="G279" s="86"/>
      <c r="J279" s="87"/>
      <c r="K279" s="87"/>
    </row>
    <row r="280">
      <c r="G280" s="86"/>
      <c r="J280" s="87"/>
      <c r="K280" s="87"/>
    </row>
    <row r="281">
      <c r="G281" s="86"/>
      <c r="J281" s="87"/>
      <c r="K281" s="87"/>
    </row>
    <row r="282">
      <c r="G282" s="86"/>
      <c r="J282" s="87"/>
      <c r="K282" s="87"/>
    </row>
    <row r="283">
      <c r="G283" s="86"/>
      <c r="J283" s="87"/>
      <c r="K283" s="87"/>
    </row>
    <row r="284">
      <c r="G284" s="86"/>
      <c r="J284" s="87"/>
      <c r="K284" s="87"/>
    </row>
    <row r="285">
      <c r="G285" s="86"/>
      <c r="J285" s="87"/>
      <c r="K285" s="87"/>
    </row>
    <row r="286">
      <c r="G286" s="86"/>
      <c r="J286" s="87"/>
      <c r="K286" s="87"/>
    </row>
    <row r="287">
      <c r="G287" s="86"/>
      <c r="J287" s="87"/>
      <c r="K287" s="87"/>
    </row>
    <row r="288">
      <c r="G288" s="86"/>
      <c r="J288" s="87"/>
      <c r="K288" s="87"/>
    </row>
    <row r="289">
      <c r="G289" s="86"/>
      <c r="J289" s="87"/>
      <c r="K289" s="87"/>
    </row>
    <row r="290">
      <c r="G290" s="86"/>
      <c r="J290" s="87"/>
      <c r="K290" s="87"/>
    </row>
    <row r="291">
      <c r="G291" s="86"/>
      <c r="J291" s="87"/>
      <c r="K291" s="87"/>
    </row>
    <row r="292">
      <c r="G292" s="86"/>
      <c r="J292" s="87"/>
      <c r="K292" s="87"/>
    </row>
    <row r="293">
      <c r="G293" s="86"/>
      <c r="J293" s="87"/>
      <c r="K293" s="87"/>
    </row>
    <row r="294">
      <c r="G294" s="86"/>
      <c r="J294" s="87"/>
      <c r="K294" s="87"/>
    </row>
    <row r="295">
      <c r="G295" s="86"/>
      <c r="J295" s="87"/>
      <c r="K295" s="87"/>
    </row>
    <row r="296">
      <c r="G296" s="86"/>
      <c r="J296" s="87"/>
      <c r="K296" s="87"/>
    </row>
    <row r="297">
      <c r="G297" s="86"/>
      <c r="J297" s="87"/>
      <c r="K297" s="87"/>
    </row>
    <row r="298">
      <c r="G298" s="86"/>
      <c r="J298" s="87"/>
      <c r="K298" s="87"/>
    </row>
    <row r="299">
      <c r="G299" s="86"/>
      <c r="J299" s="87"/>
      <c r="K299" s="87"/>
    </row>
    <row r="300">
      <c r="G300" s="86"/>
      <c r="J300" s="87"/>
      <c r="K300" s="87"/>
    </row>
    <row r="301">
      <c r="G301" s="86"/>
      <c r="J301" s="87"/>
      <c r="K301" s="87"/>
    </row>
    <row r="302">
      <c r="G302" s="86"/>
      <c r="J302" s="87"/>
      <c r="K302" s="87"/>
    </row>
    <row r="303">
      <c r="G303" s="86"/>
      <c r="J303" s="87"/>
      <c r="K303" s="87"/>
    </row>
    <row r="304">
      <c r="G304" s="86"/>
      <c r="J304" s="87"/>
      <c r="K304" s="87"/>
    </row>
    <row r="305">
      <c r="G305" s="86"/>
      <c r="J305" s="87"/>
      <c r="K305" s="87"/>
    </row>
    <row r="306">
      <c r="G306" s="86"/>
      <c r="J306" s="87"/>
      <c r="K306" s="87"/>
    </row>
    <row r="307">
      <c r="G307" s="86"/>
      <c r="J307" s="87"/>
      <c r="K307" s="87"/>
    </row>
    <row r="308">
      <c r="G308" s="86"/>
      <c r="J308" s="87"/>
      <c r="K308" s="87"/>
    </row>
    <row r="309">
      <c r="G309" s="86"/>
      <c r="J309" s="87"/>
      <c r="K309" s="87"/>
    </row>
    <row r="310">
      <c r="G310" s="86"/>
      <c r="J310" s="87"/>
      <c r="K310" s="87"/>
    </row>
    <row r="311">
      <c r="G311" s="86"/>
      <c r="J311" s="87"/>
      <c r="K311" s="87"/>
    </row>
    <row r="312">
      <c r="G312" s="86"/>
      <c r="J312" s="87"/>
      <c r="K312" s="87"/>
    </row>
    <row r="313">
      <c r="G313" s="86"/>
      <c r="J313" s="87"/>
      <c r="K313" s="87"/>
    </row>
    <row r="314">
      <c r="G314" s="86"/>
      <c r="J314" s="87"/>
      <c r="K314" s="87"/>
    </row>
    <row r="315">
      <c r="G315" s="86"/>
      <c r="J315" s="87"/>
      <c r="K315" s="87"/>
    </row>
    <row r="316">
      <c r="G316" s="86"/>
      <c r="J316" s="87"/>
      <c r="K316" s="87"/>
    </row>
    <row r="317">
      <c r="G317" s="86"/>
      <c r="J317" s="87"/>
      <c r="K317" s="87"/>
    </row>
    <row r="318">
      <c r="G318" s="86"/>
      <c r="J318" s="87"/>
      <c r="K318" s="87"/>
    </row>
    <row r="319">
      <c r="G319" s="86"/>
      <c r="J319" s="87"/>
      <c r="K319" s="87"/>
    </row>
    <row r="320">
      <c r="G320" s="86"/>
      <c r="J320" s="87"/>
      <c r="K320" s="87"/>
    </row>
    <row r="321">
      <c r="G321" s="86"/>
      <c r="J321" s="87"/>
      <c r="K321" s="87"/>
    </row>
    <row r="322">
      <c r="G322" s="86"/>
      <c r="J322" s="87"/>
      <c r="K322" s="87"/>
    </row>
    <row r="323">
      <c r="G323" s="86"/>
      <c r="J323" s="87"/>
      <c r="K323" s="87"/>
    </row>
    <row r="324">
      <c r="G324" s="86"/>
      <c r="J324" s="87"/>
      <c r="K324" s="87"/>
    </row>
    <row r="325">
      <c r="G325" s="86"/>
      <c r="J325" s="87"/>
      <c r="K325" s="87"/>
    </row>
    <row r="326">
      <c r="G326" s="86"/>
      <c r="J326" s="87"/>
      <c r="K326" s="87"/>
    </row>
    <row r="327">
      <c r="G327" s="86"/>
      <c r="J327" s="87"/>
      <c r="K327" s="87"/>
    </row>
    <row r="328">
      <c r="G328" s="86"/>
      <c r="J328" s="87"/>
      <c r="K328" s="87"/>
    </row>
    <row r="329">
      <c r="G329" s="86"/>
      <c r="J329" s="87"/>
      <c r="K329" s="87"/>
    </row>
    <row r="330">
      <c r="G330" s="86"/>
      <c r="J330" s="87"/>
      <c r="K330" s="87"/>
    </row>
    <row r="331">
      <c r="G331" s="86"/>
      <c r="J331" s="87"/>
      <c r="K331" s="87"/>
    </row>
    <row r="332">
      <c r="G332" s="86"/>
      <c r="J332" s="87"/>
      <c r="K332" s="87"/>
    </row>
    <row r="333">
      <c r="G333" s="86"/>
      <c r="J333" s="87"/>
      <c r="K333" s="87"/>
    </row>
    <row r="334">
      <c r="G334" s="86"/>
      <c r="J334" s="87"/>
      <c r="K334" s="87"/>
    </row>
    <row r="335">
      <c r="G335" s="86"/>
      <c r="J335" s="87"/>
      <c r="K335" s="87"/>
    </row>
    <row r="336">
      <c r="G336" s="86"/>
      <c r="J336" s="87"/>
      <c r="K336" s="87"/>
    </row>
    <row r="337">
      <c r="G337" s="86"/>
      <c r="J337" s="87"/>
      <c r="K337" s="87"/>
    </row>
    <row r="338">
      <c r="G338" s="86"/>
      <c r="J338" s="87"/>
      <c r="K338" s="87"/>
    </row>
    <row r="339">
      <c r="G339" s="86"/>
      <c r="J339" s="87"/>
      <c r="K339" s="87"/>
    </row>
    <row r="340">
      <c r="G340" s="86"/>
      <c r="J340" s="87"/>
      <c r="K340" s="87"/>
    </row>
    <row r="341">
      <c r="G341" s="86"/>
      <c r="J341" s="87"/>
      <c r="K341" s="87"/>
    </row>
    <row r="342">
      <c r="G342" s="86"/>
      <c r="J342" s="87"/>
      <c r="K342" s="87"/>
    </row>
    <row r="343">
      <c r="G343" s="86"/>
      <c r="J343" s="87"/>
      <c r="K343" s="87"/>
    </row>
    <row r="344">
      <c r="G344" s="86"/>
      <c r="J344" s="87"/>
      <c r="K344" s="87"/>
    </row>
    <row r="345">
      <c r="G345" s="86"/>
      <c r="J345" s="87"/>
      <c r="K345" s="87"/>
    </row>
    <row r="346">
      <c r="G346" s="86"/>
      <c r="J346" s="87"/>
      <c r="K346" s="87"/>
    </row>
    <row r="347">
      <c r="G347" s="86"/>
      <c r="J347" s="87"/>
      <c r="K347" s="87"/>
    </row>
    <row r="348">
      <c r="G348" s="86"/>
      <c r="J348" s="87"/>
      <c r="K348" s="87"/>
    </row>
    <row r="349">
      <c r="G349" s="86"/>
      <c r="J349" s="87"/>
      <c r="K349" s="87"/>
    </row>
    <row r="350">
      <c r="G350" s="86"/>
      <c r="J350" s="87"/>
      <c r="K350" s="87"/>
    </row>
    <row r="351">
      <c r="G351" s="86"/>
      <c r="J351" s="87"/>
      <c r="K351" s="87"/>
    </row>
    <row r="352">
      <c r="G352" s="86"/>
      <c r="J352" s="87"/>
      <c r="K352" s="87"/>
    </row>
    <row r="353">
      <c r="G353" s="86"/>
      <c r="J353" s="87"/>
      <c r="K353" s="87"/>
    </row>
    <row r="354">
      <c r="G354" s="86"/>
      <c r="J354" s="87"/>
      <c r="K354" s="87"/>
    </row>
    <row r="355">
      <c r="G355" s="86"/>
      <c r="J355" s="87"/>
      <c r="K355" s="87"/>
    </row>
    <row r="356">
      <c r="G356" s="86"/>
      <c r="J356" s="87"/>
      <c r="K356" s="87"/>
    </row>
    <row r="357">
      <c r="G357" s="86"/>
      <c r="J357" s="87"/>
      <c r="K357" s="87"/>
    </row>
    <row r="358">
      <c r="G358" s="86"/>
      <c r="J358" s="87"/>
      <c r="K358" s="87"/>
    </row>
    <row r="359">
      <c r="G359" s="86"/>
      <c r="J359" s="87"/>
      <c r="K359" s="87"/>
    </row>
    <row r="360">
      <c r="G360" s="86"/>
      <c r="J360" s="87"/>
      <c r="K360" s="87"/>
    </row>
    <row r="361">
      <c r="G361" s="86"/>
      <c r="J361" s="87"/>
      <c r="K361" s="87"/>
    </row>
    <row r="362">
      <c r="G362" s="86"/>
      <c r="J362" s="87"/>
      <c r="K362" s="87"/>
    </row>
    <row r="363">
      <c r="G363" s="86"/>
      <c r="J363" s="87"/>
      <c r="K363" s="87"/>
    </row>
    <row r="364">
      <c r="G364" s="86"/>
      <c r="J364" s="87"/>
      <c r="K364" s="87"/>
    </row>
    <row r="365">
      <c r="G365" s="86"/>
      <c r="J365" s="87"/>
      <c r="K365" s="87"/>
    </row>
    <row r="366">
      <c r="G366" s="86"/>
      <c r="J366" s="87"/>
      <c r="K366" s="87"/>
    </row>
    <row r="367">
      <c r="G367" s="86"/>
      <c r="J367" s="87"/>
      <c r="K367" s="87"/>
    </row>
    <row r="368">
      <c r="G368" s="86"/>
      <c r="J368" s="87"/>
      <c r="K368" s="87"/>
    </row>
    <row r="369">
      <c r="G369" s="86"/>
      <c r="J369" s="87"/>
      <c r="K369" s="87"/>
    </row>
    <row r="370">
      <c r="G370" s="86"/>
      <c r="J370" s="87"/>
      <c r="K370" s="87"/>
    </row>
    <row r="371">
      <c r="G371" s="86"/>
      <c r="J371" s="87"/>
      <c r="K371" s="87"/>
    </row>
    <row r="372">
      <c r="G372" s="86"/>
      <c r="J372" s="87"/>
      <c r="K372" s="87"/>
    </row>
    <row r="373">
      <c r="G373" s="86"/>
      <c r="J373" s="87"/>
      <c r="K373" s="87"/>
    </row>
    <row r="374">
      <c r="G374" s="86"/>
      <c r="J374" s="87"/>
      <c r="K374" s="87"/>
    </row>
    <row r="375">
      <c r="G375" s="86"/>
      <c r="J375" s="87"/>
      <c r="K375" s="87"/>
    </row>
    <row r="376">
      <c r="G376" s="86"/>
      <c r="J376" s="87"/>
      <c r="K376" s="87"/>
    </row>
    <row r="377">
      <c r="G377" s="86"/>
      <c r="J377" s="87"/>
      <c r="K377" s="87"/>
    </row>
    <row r="378">
      <c r="G378" s="86"/>
      <c r="J378" s="87"/>
      <c r="K378" s="87"/>
    </row>
    <row r="379">
      <c r="G379" s="86"/>
      <c r="J379" s="87"/>
      <c r="K379" s="87"/>
    </row>
    <row r="380">
      <c r="G380" s="86"/>
      <c r="J380" s="87"/>
      <c r="K380" s="87"/>
    </row>
    <row r="381">
      <c r="G381" s="86"/>
      <c r="J381" s="87"/>
      <c r="K381" s="87"/>
    </row>
    <row r="382">
      <c r="G382" s="86"/>
      <c r="J382" s="87"/>
      <c r="K382" s="87"/>
    </row>
    <row r="383">
      <c r="G383" s="86"/>
      <c r="J383" s="87"/>
      <c r="K383" s="87"/>
    </row>
    <row r="384">
      <c r="G384" s="86"/>
      <c r="J384" s="87"/>
      <c r="K384" s="87"/>
    </row>
    <row r="385">
      <c r="G385" s="86"/>
      <c r="J385" s="87"/>
      <c r="K385" s="87"/>
    </row>
    <row r="386">
      <c r="G386" s="86"/>
      <c r="J386" s="87"/>
      <c r="K386" s="87"/>
    </row>
    <row r="387">
      <c r="G387" s="86"/>
      <c r="J387" s="87"/>
      <c r="K387" s="87"/>
    </row>
    <row r="388">
      <c r="G388" s="86"/>
      <c r="J388" s="87"/>
      <c r="K388" s="87"/>
    </row>
    <row r="389">
      <c r="G389" s="86"/>
      <c r="J389" s="87"/>
      <c r="K389" s="87"/>
    </row>
    <row r="390">
      <c r="G390" s="86"/>
      <c r="J390" s="87"/>
      <c r="K390" s="87"/>
    </row>
    <row r="391">
      <c r="G391" s="86"/>
      <c r="J391" s="87"/>
      <c r="K391" s="87"/>
    </row>
    <row r="392">
      <c r="G392" s="86"/>
      <c r="J392" s="87"/>
      <c r="K392" s="87"/>
    </row>
    <row r="393">
      <c r="G393" s="86"/>
      <c r="J393" s="87"/>
      <c r="K393" s="87"/>
    </row>
    <row r="394">
      <c r="G394" s="86"/>
      <c r="J394" s="87"/>
      <c r="K394" s="87"/>
    </row>
    <row r="395">
      <c r="G395" s="86"/>
      <c r="J395" s="87"/>
      <c r="K395" s="87"/>
    </row>
    <row r="396">
      <c r="G396" s="86"/>
      <c r="J396" s="87"/>
      <c r="K396" s="87"/>
    </row>
    <row r="397">
      <c r="G397" s="86"/>
      <c r="J397" s="87"/>
      <c r="K397" s="87"/>
    </row>
    <row r="398">
      <c r="G398" s="86"/>
      <c r="J398" s="87"/>
      <c r="K398" s="87"/>
    </row>
    <row r="399">
      <c r="G399" s="86"/>
      <c r="J399" s="87"/>
      <c r="K399" s="87"/>
    </row>
    <row r="400">
      <c r="G400" s="86"/>
      <c r="J400" s="87"/>
      <c r="K400" s="87"/>
    </row>
    <row r="401">
      <c r="G401" s="86"/>
      <c r="J401" s="87"/>
      <c r="K401" s="87"/>
    </row>
    <row r="402">
      <c r="G402" s="86"/>
      <c r="J402" s="87"/>
      <c r="K402" s="87"/>
    </row>
    <row r="403">
      <c r="G403" s="86"/>
      <c r="J403" s="87"/>
      <c r="K403" s="87"/>
    </row>
    <row r="404">
      <c r="G404" s="86"/>
      <c r="J404" s="87"/>
      <c r="K404" s="87"/>
    </row>
    <row r="405">
      <c r="G405" s="86"/>
      <c r="J405" s="87"/>
      <c r="K405" s="87"/>
    </row>
    <row r="406">
      <c r="G406" s="86"/>
      <c r="J406" s="87"/>
      <c r="K406" s="87"/>
    </row>
    <row r="407">
      <c r="G407" s="86"/>
      <c r="J407" s="87"/>
      <c r="K407" s="87"/>
    </row>
    <row r="408">
      <c r="G408" s="86"/>
      <c r="J408" s="87"/>
      <c r="K408" s="87"/>
    </row>
    <row r="409">
      <c r="G409" s="86"/>
      <c r="J409" s="87"/>
      <c r="K409" s="87"/>
    </row>
    <row r="410">
      <c r="G410" s="86"/>
      <c r="J410" s="87"/>
      <c r="K410" s="87"/>
    </row>
    <row r="411">
      <c r="G411" s="86"/>
      <c r="J411" s="87"/>
      <c r="K411" s="87"/>
    </row>
    <row r="412">
      <c r="G412" s="86"/>
      <c r="J412" s="87"/>
      <c r="K412" s="87"/>
    </row>
    <row r="413">
      <c r="G413" s="86"/>
      <c r="J413" s="87"/>
      <c r="K413" s="87"/>
    </row>
    <row r="414">
      <c r="G414" s="86"/>
      <c r="J414" s="87"/>
      <c r="K414" s="87"/>
    </row>
    <row r="415">
      <c r="G415" s="86"/>
      <c r="J415" s="87"/>
      <c r="K415" s="87"/>
    </row>
    <row r="416">
      <c r="G416" s="86"/>
      <c r="J416" s="87"/>
      <c r="K416" s="87"/>
    </row>
    <row r="417">
      <c r="G417" s="86"/>
      <c r="J417" s="87"/>
      <c r="K417" s="87"/>
    </row>
    <row r="418">
      <c r="G418" s="86"/>
      <c r="J418" s="87"/>
      <c r="K418" s="87"/>
    </row>
    <row r="419">
      <c r="G419" s="86"/>
      <c r="J419" s="87"/>
      <c r="K419" s="87"/>
    </row>
    <row r="420">
      <c r="G420" s="86"/>
      <c r="J420" s="87"/>
      <c r="K420" s="87"/>
    </row>
    <row r="421">
      <c r="G421" s="86"/>
      <c r="J421" s="87"/>
      <c r="K421" s="87"/>
    </row>
    <row r="422">
      <c r="G422" s="86"/>
      <c r="J422" s="87"/>
      <c r="K422" s="87"/>
    </row>
    <row r="423">
      <c r="G423" s="86"/>
      <c r="J423" s="87"/>
      <c r="K423" s="87"/>
    </row>
    <row r="424">
      <c r="G424" s="86"/>
      <c r="J424" s="87"/>
      <c r="K424" s="87"/>
    </row>
    <row r="425">
      <c r="G425" s="86"/>
      <c r="J425" s="87"/>
      <c r="K425" s="87"/>
    </row>
    <row r="426">
      <c r="G426" s="86"/>
      <c r="J426" s="87"/>
      <c r="K426" s="87"/>
    </row>
    <row r="427">
      <c r="G427" s="86"/>
      <c r="J427" s="87"/>
      <c r="K427" s="87"/>
    </row>
    <row r="428">
      <c r="G428" s="86"/>
      <c r="J428" s="87"/>
      <c r="K428" s="87"/>
    </row>
    <row r="429">
      <c r="G429" s="86"/>
      <c r="J429" s="87"/>
      <c r="K429" s="87"/>
    </row>
    <row r="430">
      <c r="G430" s="86"/>
      <c r="J430" s="87"/>
      <c r="K430" s="87"/>
    </row>
    <row r="431">
      <c r="G431" s="86"/>
      <c r="J431" s="87"/>
      <c r="K431" s="87"/>
    </row>
    <row r="432">
      <c r="G432" s="86"/>
      <c r="J432" s="87"/>
      <c r="K432" s="87"/>
    </row>
    <row r="433">
      <c r="G433" s="86"/>
      <c r="J433" s="87"/>
      <c r="K433" s="87"/>
    </row>
    <row r="434">
      <c r="G434" s="86"/>
      <c r="J434" s="87"/>
      <c r="K434" s="87"/>
    </row>
    <row r="435">
      <c r="G435" s="86"/>
      <c r="J435" s="87"/>
      <c r="K435" s="87"/>
    </row>
    <row r="436">
      <c r="G436" s="86"/>
      <c r="J436" s="87"/>
      <c r="K436" s="87"/>
    </row>
    <row r="437">
      <c r="G437" s="86"/>
      <c r="J437" s="87"/>
      <c r="K437" s="87"/>
    </row>
    <row r="438">
      <c r="G438" s="86"/>
      <c r="J438" s="87"/>
      <c r="K438" s="87"/>
    </row>
    <row r="439">
      <c r="G439" s="86"/>
      <c r="J439" s="87"/>
      <c r="K439" s="87"/>
    </row>
    <row r="440">
      <c r="G440" s="86"/>
      <c r="J440" s="87"/>
      <c r="K440" s="87"/>
    </row>
    <row r="441">
      <c r="G441" s="86"/>
      <c r="J441" s="87"/>
      <c r="K441" s="87"/>
    </row>
    <row r="442">
      <c r="G442" s="86"/>
      <c r="J442" s="87"/>
      <c r="K442" s="87"/>
    </row>
    <row r="443">
      <c r="G443" s="86"/>
      <c r="J443" s="87"/>
      <c r="K443" s="87"/>
    </row>
    <row r="444">
      <c r="G444" s="86"/>
      <c r="J444" s="87"/>
      <c r="K444" s="87"/>
    </row>
    <row r="445">
      <c r="G445" s="86"/>
      <c r="J445" s="87"/>
      <c r="K445" s="87"/>
    </row>
    <row r="446">
      <c r="G446" s="86"/>
      <c r="J446" s="87"/>
      <c r="K446" s="87"/>
    </row>
    <row r="447">
      <c r="G447" s="86"/>
      <c r="J447" s="87"/>
      <c r="K447" s="87"/>
    </row>
    <row r="448">
      <c r="G448" s="86"/>
      <c r="J448" s="87"/>
      <c r="K448" s="87"/>
    </row>
    <row r="449">
      <c r="G449" s="86"/>
      <c r="J449" s="87"/>
      <c r="K449" s="87"/>
    </row>
    <row r="450">
      <c r="G450" s="86"/>
      <c r="J450" s="87"/>
      <c r="K450" s="87"/>
    </row>
    <row r="451">
      <c r="G451" s="86"/>
      <c r="J451" s="87"/>
      <c r="K451" s="87"/>
    </row>
    <row r="452">
      <c r="G452" s="86"/>
      <c r="J452" s="87"/>
      <c r="K452" s="87"/>
    </row>
    <row r="453">
      <c r="G453" s="86"/>
      <c r="J453" s="87"/>
      <c r="K453" s="87"/>
    </row>
    <row r="454">
      <c r="G454" s="86"/>
      <c r="J454" s="87"/>
      <c r="K454" s="87"/>
    </row>
    <row r="455">
      <c r="G455" s="86"/>
      <c r="J455" s="87"/>
      <c r="K455" s="87"/>
    </row>
    <row r="456">
      <c r="G456" s="86"/>
      <c r="J456" s="87"/>
      <c r="K456" s="87"/>
    </row>
    <row r="457">
      <c r="G457" s="86"/>
      <c r="J457" s="87"/>
      <c r="K457" s="87"/>
    </row>
    <row r="458">
      <c r="G458" s="86"/>
      <c r="J458" s="87"/>
      <c r="K458" s="87"/>
    </row>
    <row r="459">
      <c r="G459" s="86"/>
      <c r="J459" s="87"/>
      <c r="K459" s="87"/>
    </row>
    <row r="460">
      <c r="G460" s="86"/>
      <c r="J460" s="87"/>
      <c r="K460" s="87"/>
    </row>
    <row r="461">
      <c r="G461" s="86"/>
      <c r="J461" s="87"/>
      <c r="K461" s="87"/>
    </row>
    <row r="462">
      <c r="G462" s="86"/>
      <c r="J462" s="87"/>
      <c r="K462" s="87"/>
    </row>
    <row r="463">
      <c r="G463" s="86"/>
      <c r="J463" s="87"/>
      <c r="K463" s="87"/>
    </row>
    <row r="464">
      <c r="G464" s="86"/>
      <c r="J464" s="87"/>
      <c r="K464" s="87"/>
    </row>
    <row r="465">
      <c r="G465" s="86"/>
      <c r="J465" s="87"/>
      <c r="K465" s="87"/>
    </row>
    <row r="466">
      <c r="G466" s="86"/>
      <c r="J466" s="87"/>
      <c r="K466" s="87"/>
    </row>
    <row r="467">
      <c r="G467" s="86"/>
      <c r="J467" s="87"/>
      <c r="K467" s="87"/>
    </row>
    <row r="468">
      <c r="G468" s="86"/>
      <c r="J468" s="87"/>
      <c r="K468" s="87"/>
    </row>
    <row r="469">
      <c r="G469" s="86"/>
      <c r="J469" s="87"/>
      <c r="K469" s="87"/>
    </row>
    <row r="470">
      <c r="G470" s="86"/>
      <c r="J470" s="87"/>
      <c r="K470" s="87"/>
    </row>
    <row r="471">
      <c r="G471" s="86"/>
      <c r="J471" s="87"/>
      <c r="K471" s="87"/>
    </row>
    <row r="472">
      <c r="G472" s="86"/>
      <c r="J472" s="87"/>
      <c r="K472" s="87"/>
    </row>
    <row r="473">
      <c r="G473" s="86"/>
      <c r="J473" s="87"/>
      <c r="K473" s="87"/>
    </row>
    <row r="474">
      <c r="G474" s="86"/>
      <c r="J474" s="87"/>
      <c r="K474" s="87"/>
    </row>
    <row r="475">
      <c r="G475" s="86"/>
      <c r="J475" s="87"/>
      <c r="K475" s="87"/>
    </row>
    <row r="476">
      <c r="G476" s="86"/>
      <c r="J476" s="87"/>
      <c r="K476" s="87"/>
    </row>
    <row r="477">
      <c r="G477" s="86"/>
      <c r="J477" s="87"/>
      <c r="K477" s="87"/>
    </row>
    <row r="478">
      <c r="G478" s="86"/>
      <c r="J478" s="87"/>
      <c r="K478" s="87"/>
    </row>
    <row r="479">
      <c r="G479" s="86"/>
      <c r="J479" s="87"/>
      <c r="K479" s="87"/>
    </row>
    <row r="480">
      <c r="G480" s="86"/>
      <c r="J480" s="87"/>
      <c r="K480" s="87"/>
    </row>
    <row r="481">
      <c r="G481" s="86"/>
      <c r="J481" s="87"/>
      <c r="K481" s="87"/>
    </row>
    <row r="482">
      <c r="G482" s="86"/>
      <c r="J482" s="87"/>
      <c r="K482" s="87"/>
    </row>
    <row r="483">
      <c r="G483" s="86"/>
      <c r="J483" s="87"/>
      <c r="K483" s="87"/>
    </row>
    <row r="484">
      <c r="G484" s="86"/>
      <c r="J484" s="87"/>
      <c r="K484" s="87"/>
    </row>
    <row r="485">
      <c r="G485" s="86"/>
      <c r="J485" s="87"/>
      <c r="K485" s="87"/>
    </row>
    <row r="486">
      <c r="G486" s="86"/>
      <c r="J486" s="87"/>
      <c r="K486" s="87"/>
    </row>
    <row r="487">
      <c r="G487" s="86"/>
      <c r="J487" s="87"/>
      <c r="K487" s="87"/>
    </row>
    <row r="488">
      <c r="G488" s="86"/>
      <c r="J488" s="87"/>
      <c r="K488" s="87"/>
    </row>
    <row r="489">
      <c r="G489" s="86"/>
      <c r="J489" s="87"/>
      <c r="K489" s="87"/>
    </row>
    <row r="490">
      <c r="G490" s="86"/>
      <c r="J490" s="87"/>
      <c r="K490" s="87"/>
    </row>
    <row r="491">
      <c r="G491" s="86"/>
      <c r="J491" s="87"/>
      <c r="K491" s="87"/>
    </row>
    <row r="492">
      <c r="G492" s="86"/>
      <c r="J492" s="87"/>
      <c r="K492" s="87"/>
    </row>
    <row r="493">
      <c r="G493" s="86"/>
      <c r="J493" s="87"/>
      <c r="K493" s="87"/>
    </row>
    <row r="494">
      <c r="G494" s="86"/>
      <c r="J494" s="87"/>
      <c r="K494" s="87"/>
    </row>
    <row r="495">
      <c r="G495" s="86"/>
      <c r="J495" s="87"/>
      <c r="K495" s="87"/>
    </row>
    <row r="496">
      <c r="G496" s="86"/>
      <c r="J496" s="87"/>
      <c r="K496" s="87"/>
    </row>
    <row r="497">
      <c r="G497" s="86"/>
      <c r="J497" s="87"/>
      <c r="K497" s="87"/>
    </row>
    <row r="498">
      <c r="G498" s="86"/>
      <c r="J498" s="87"/>
      <c r="K498" s="87"/>
    </row>
    <row r="499">
      <c r="G499" s="86"/>
      <c r="J499" s="87"/>
      <c r="K499" s="87"/>
    </row>
    <row r="500">
      <c r="G500" s="86"/>
      <c r="J500" s="87"/>
      <c r="K500" s="87"/>
    </row>
    <row r="501">
      <c r="G501" s="86"/>
      <c r="J501" s="87"/>
      <c r="K501" s="87"/>
    </row>
    <row r="502">
      <c r="G502" s="86"/>
      <c r="J502" s="87"/>
      <c r="K502" s="87"/>
    </row>
    <row r="503">
      <c r="G503" s="86"/>
      <c r="J503" s="87"/>
      <c r="K503" s="87"/>
    </row>
    <row r="504">
      <c r="G504" s="86"/>
      <c r="J504" s="87"/>
      <c r="K504" s="87"/>
    </row>
    <row r="505">
      <c r="G505" s="86"/>
      <c r="J505" s="87"/>
      <c r="K505" s="87"/>
    </row>
    <row r="506">
      <c r="G506" s="86"/>
      <c r="J506" s="87"/>
      <c r="K506" s="87"/>
    </row>
    <row r="507">
      <c r="G507" s="86"/>
      <c r="J507" s="87"/>
      <c r="K507" s="87"/>
    </row>
    <row r="508">
      <c r="G508" s="86"/>
      <c r="J508" s="87"/>
      <c r="K508" s="87"/>
    </row>
    <row r="509">
      <c r="G509" s="86"/>
      <c r="J509" s="87"/>
      <c r="K509" s="87"/>
    </row>
    <row r="510">
      <c r="G510" s="86"/>
      <c r="J510" s="87"/>
      <c r="K510" s="87"/>
    </row>
    <row r="511">
      <c r="G511" s="86"/>
      <c r="J511" s="87"/>
      <c r="K511" s="87"/>
    </row>
    <row r="512">
      <c r="G512" s="86"/>
      <c r="J512" s="87"/>
      <c r="K512" s="87"/>
    </row>
    <row r="513">
      <c r="G513" s="86"/>
      <c r="J513" s="87"/>
      <c r="K513" s="87"/>
    </row>
    <row r="514">
      <c r="G514" s="86"/>
      <c r="J514" s="87"/>
      <c r="K514" s="87"/>
    </row>
    <row r="515">
      <c r="G515" s="86"/>
      <c r="J515" s="87"/>
      <c r="K515" s="87"/>
    </row>
    <row r="516">
      <c r="G516" s="86"/>
      <c r="J516" s="87"/>
      <c r="K516" s="87"/>
    </row>
    <row r="517">
      <c r="G517" s="86"/>
      <c r="J517" s="87"/>
      <c r="K517" s="87"/>
    </row>
    <row r="518">
      <c r="G518" s="86"/>
      <c r="J518" s="87"/>
      <c r="K518" s="87"/>
    </row>
    <row r="519">
      <c r="G519" s="86"/>
      <c r="J519" s="87"/>
      <c r="K519" s="87"/>
    </row>
    <row r="520">
      <c r="G520" s="86"/>
      <c r="J520" s="87"/>
      <c r="K520" s="87"/>
    </row>
    <row r="521">
      <c r="G521" s="86"/>
      <c r="J521" s="87"/>
      <c r="K521" s="87"/>
    </row>
    <row r="522">
      <c r="G522" s="86"/>
      <c r="J522" s="87"/>
      <c r="K522" s="87"/>
    </row>
    <row r="523">
      <c r="G523" s="86"/>
      <c r="J523" s="87"/>
      <c r="K523" s="87"/>
    </row>
    <row r="524">
      <c r="G524" s="86"/>
      <c r="J524" s="87"/>
      <c r="K524" s="87"/>
    </row>
    <row r="525">
      <c r="G525" s="86"/>
      <c r="J525" s="87"/>
      <c r="K525" s="87"/>
    </row>
    <row r="526">
      <c r="G526" s="86"/>
      <c r="J526" s="87"/>
      <c r="K526" s="87"/>
    </row>
    <row r="527">
      <c r="G527" s="86"/>
      <c r="J527" s="87"/>
      <c r="K527" s="87"/>
    </row>
    <row r="528">
      <c r="G528" s="86"/>
      <c r="J528" s="87"/>
      <c r="K528" s="87"/>
    </row>
    <row r="529">
      <c r="G529" s="86"/>
      <c r="J529" s="87"/>
      <c r="K529" s="87"/>
    </row>
    <row r="530">
      <c r="G530" s="86"/>
      <c r="J530" s="87"/>
      <c r="K530" s="87"/>
    </row>
    <row r="531">
      <c r="G531" s="86"/>
      <c r="J531" s="87"/>
      <c r="K531" s="87"/>
    </row>
    <row r="532">
      <c r="G532" s="86"/>
      <c r="J532" s="87"/>
      <c r="K532" s="87"/>
    </row>
    <row r="533">
      <c r="G533" s="86"/>
      <c r="J533" s="87"/>
      <c r="K533" s="87"/>
    </row>
    <row r="534">
      <c r="G534" s="86"/>
      <c r="J534" s="87"/>
      <c r="K534" s="87"/>
    </row>
    <row r="535">
      <c r="G535" s="86"/>
      <c r="J535" s="87"/>
      <c r="K535" s="87"/>
    </row>
    <row r="536">
      <c r="G536" s="86"/>
      <c r="J536" s="87"/>
      <c r="K536" s="87"/>
    </row>
    <row r="537">
      <c r="G537" s="86"/>
      <c r="J537" s="87"/>
      <c r="K537" s="87"/>
    </row>
    <row r="538">
      <c r="G538" s="86"/>
      <c r="J538" s="87"/>
      <c r="K538" s="87"/>
    </row>
    <row r="539">
      <c r="G539" s="86"/>
      <c r="J539" s="87"/>
      <c r="K539" s="87"/>
    </row>
    <row r="540">
      <c r="G540" s="86"/>
      <c r="J540" s="87"/>
      <c r="K540" s="87"/>
    </row>
    <row r="541">
      <c r="G541" s="86"/>
      <c r="J541" s="87"/>
      <c r="K541" s="87"/>
    </row>
    <row r="542">
      <c r="G542" s="86"/>
      <c r="J542" s="87"/>
      <c r="K542" s="87"/>
    </row>
    <row r="543">
      <c r="G543" s="86"/>
      <c r="J543" s="87"/>
      <c r="K543" s="87"/>
    </row>
    <row r="544">
      <c r="G544" s="86"/>
      <c r="J544" s="87"/>
      <c r="K544" s="87"/>
    </row>
    <row r="545">
      <c r="G545" s="86"/>
      <c r="J545" s="87"/>
      <c r="K545" s="87"/>
    </row>
    <row r="546">
      <c r="G546" s="86"/>
      <c r="J546" s="87"/>
      <c r="K546" s="87"/>
    </row>
    <row r="547">
      <c r="G547" s="86"/>
      <c r="J547" s="87"/>
      <c r="K547" s="87"/>
    </row>
    <row r="548">
      <c r="G548" s="86"/>
      <c r="J548" s="87"/>
      <c r="K548" s="87"/>
    </row>
    <row r="549">
      <c r="G549" s="86"/>
      <c r="J549" s="87"/>
      <c r="K549" s="87"/>
    </row>
    <row r="550">
      <c r="G550" s="86"/>
      <c r="J550" s="87"/>
      <c r="K550" s="87"/>
    </row>
    <row r="551">
      <c r="G551" s="86"/>
      <c r="J551" s="87"/>
      <c r="K551" s="87"/>
    </row>
    <row r="552">
      <c r="G552" s="86"/>
      <c r="J552" s="87"/>
      <c r="K552" s="87"/>
    </row>
    <row r="553">
      <c r="G553" s="86"/>
      <c r="J553" s="87"/>
      <c r="K553" s="87"/>
    </row>
    <row r="554">
      <c r="G554" s="86"/>
      <c r="J554" s="87"/>
      <c r="K554" s="87"/>
    </row>
    <row r="555">
      <c r="G555" s="86"/>
      <c r="J555" s="87"/>
      <c r="K555" s="87"/>
    </row>
    <row r="556">
      <c r="G556" s="86"/>
      <c r="J556" s="87"/>
      <c r="K556" s="87"/>
    </row>
    <row r="557">
      <c r="G557" s="86"/>
      <c r="J557" s="87"/>
      <c r="K557" s="87"/>
    </row>
    <row r="558">
      <c r="G558" s="86"/>
      <c r="J558" s="87"/>
      <c r="K558" s="87"/>
    </row>
    <row r="559">
      <c r="G559" s="86"/>
      <c r="J559" s="87"/>
      <c r="K559" s="87"/>
    </row>
    <row r="560">
      <c r="G560" s="86"/>
      <c r="J560" s="87"/>
      <c r="K560" s="87"/>
    </row>
    <row r="561">
      <c r="G561" s="86"/>
      <c r="J561" s="87"/>
      <c r="K561" s="87"/>
    </row>
    <row r="562">
      <c r="G562" s="86"/>
      <c r="J562" s="87"/>
      <c r="K562" s="87"/>
    </row>
    <row r="563">
      <c r="G563" s="86"/>
      <c r="J563" s="87"/>
      <c r="K563" s="87"/>
    </row>
    <row r="564">
      <c r="G564" s="86"/>
      <c r="J564" s="87"/>
      <c r="K564" s="87"/>
    </row>
    <row r="565">
      <c r="G565" s="86"/>
      <c r="J565" s="87"/>
      <c r="K565" s="87"/>
    </row>
    <row r="566">
      <c r="G566" s="86"/>
      <c r="J566" s="87"/>
      <c r="K566" s="87"/>
    </row>
    <row r="567">
      <c r="G567" s="86"/>
      <c r="J567" s="87"/>
      <c r="K567" s="87"/>
    </row>
    <row r="568">
      <c r="G568" s="86"/>
      <c r="J568" s="87"/>
      <c r="K568" s="87"/>
    </row>
    <row r="569">
      <c r="G569" s="86"/>
      <c r="J569" s="87"/>
      <c r="K569" s="87"/>
    </row>
    <row r="570">
      <c r="G570" s="86"/>
      <c r="J570" s="87"/>
      <c r="K570" s="87"/>
    </row>
    <row r="571">
      <c r="G571" s="86"/>
      <c r="J571" s="87"/>
      <c r="K571" s="87"/>
    </row>
    <row r="572">
      <c r="G572" s="86"/>
      <c r="J572" s="87"/>
      <c r="K572" s="87"/>
    </row>
    <row r="573">
      <c r="G573" s="86"/>
      <c r="J573" s="87"/>
      <c r="K573" s="87"/>
    </row>
    <row r="574">
      <c r="G574" s="86"/>
      <c r="J574" s="87"/>
      <c r="K574" s="87"/>
    </row>
    <row r="575">
      <c r="G575" s="86"/>
      <c r="J575" s="87"/>
      <c r="K575" s="87"/>
    </row>
    <row r="576">
      <c r="G576" s="86"/>
      <c r="J576" s="87"/>
      <c r="K576" s="87"/>
    </row>
    <row r="577">
      <c r="G577" s="86"/>
      <c r="J577" s="87"/>
      <c r="K577" s="87"/>
    </row>
    <row r="578">
      <c r="G578" s="86"/>
      <c r="J578" s="87"/>
      <c r="K578" s="87"/>
    </row>
    <row r="579">
      <c r="G579" s="86"/>
      <c r="J579" s="87"/>
      <c r="K579" s="87"/>
    </row>
    <row r="580">
      <c r="G580" s="86"/>
      <c r="J580" s="87"/>
      <c r="K580" s="87"/>
    </row>
    <row r="581">
      <c r="G581" s="86"/>
      <c r="J581" s="87"/>
      <c r="K581" s="87"/>
    </row>
    <row r="582">
      <c r="G582" s="86"/>
      <c r="J582" s="87"/>
      <c r="K582" s="87"/>
    </row>
    <row r="583">
      <c r="G583" s="86"/>
      <c r="J583" s="87"/>
      <c r="K583" s="87"/>
    </row>
    <row r="584">
      <c r="G584" s="86"/>
      <c r="J584" s="87"/>
      <c r="K584" s="87"/>
    </row>
    <row r="585">
      <c r="G585" s="86"/>
      <c r="J585" s="87"/>
      <c r="K585" s="87"/>
    </row>
    <row r="586">
      <c r="G586" s="86"/>
      <c r="J586" s="87"/>
      <c r="K586" s="87"/>
    </row>
    <row r="587">
      <c r="G587" s="86"/>
      <c r="J587" s="87"/>
      <c r="K587" s="87"/>
    </row>
    <row r="588">
      <c r="G588" s="86"/>
      <c r="J588" s="87"/>
      <c r="K588" s="87"/>
    </row>
    <row r="589">
      <c r="G589" s="86"/>
      <c r="J589" s="87"/>
      <c r="K589" s="87"/>
    </row>
    <row r="590">
      <c r="G590" s="86"/>
      <c r="J590" s="87"/>
      <c r="K590" s="87"/>
    </row>
    <row r="591">
      <c r="G591" s="86"/>
      <c r="J591" s="87"/>
      <c r="K591" s="87"/>
    </row>
    <row r="592">
      <c r="G592" s="86"/>
      <c r="J592" s="87"/>
      <c r="K592" s="87"/>
    </row>
    <row r="593">
      <c r="G593" s="86"/>
      <c r="J593" s="87"/>
      <c r="K593" s="87"/>
    </row>
    <row r="594">
      <c r="G594" s="86"/>
      <c r="J594" s="87"/>
      <c r="K594" s="87"/>
    </row>
    <row r="595">
      <c r="G595" s="86"/>
      <c r="J595" s="87"/>
      <c r="K595" s="87"/>
    </row>
    <row r="596">
      <c r="G596" s="86"/>
      <c r="J596" s="87"/>
      <c r="K596" s="87"/>
    </row>
    <row r="597">
      <c r="G597" s="86"/>
      <c r="J597" s="87"/>
      <c r="K597" s="87"/>
    </row>
    <row r="598">
      <c r="G598" s="86"/>
      <c r="J598" s="87"/>
      <c r="K598" s="87"/>
    </row>
    <row r="599">
      <c r="G599" s="86"/>
      <c r="J599" s="87"/>
      <c r="K599" s="87"/>
    </row>
    <row r="600">
      <c r="G600" s="86"/>
      <c r="J600" s="87"/>
      <c r="K600" s="87"/>
    </row>
    <row r="601">
      <c r="G601" s="86"/>
      <c r="J601" s="87"/>
      <c r="K601" s="87"/>
    </row>
    <row r="602">
      <c r="G602" s="86"/>
      <c r="J602" s="87"/>
      <c r="K602" s="87"/>
    </row>
    <row r="603">
      <c r="G603" s="86"/>
      <c r="J603" s="87"/>
      <c r="K603" s="87"/>
    </row>
    <row r="604">
      <c r="G604" s="86"/>
      <c r="J604" s="87"/>
      <c r="K604" s="87"/>
    </row>
    <row r="605">
      <c r="G605" s="86"/>
      <c r="J605" s="87"/>
      <c r="K605" s="87"/>
    </row>
    <row r="606">
      <c r="G606" s="86"/>
      <c r="J606" s="87"/>
      <c r="K606" s="87"/>
    </row>
    <row r="607">
      <c r="G607" s="86"/>
      <c r="J607" s="87"/>
      <c r="K607" s="87"/>
    </row>
    <row r="608">
      <c r="G608" s="86"/>
      <c r="J608" s="87"/>
      <c r="K608" s="87"/>
    </row>
    <row r="609">
      <c r="G609" s="86"/>
      <c r="J609" s="87"/>
      <c r="K609" s="87"/>
    </row>
    <row r="610">
      <c r="G610" s="86"/>
      <c r="J610" s="87"/>
      <c r="K610" s="87"/>
    </row>
    <row r="611">
      <c r="G611" s="86"/>
      <c r="J611" s="87"/>
      <c r="K611" s="87"/>
    </row>
    <row r="612">
      <c r="G612" s="86"/>
      <c r="J612" s="87"/>
      <c r="K612" s="87"/>
    </row>
    <row r="613">
      <c r="G613" s="86"/>
      <c r="J613" s="87"/>
      <c r="K613" s="87"/>
    </row>
    <row r="614">
      <c r="G614" s="86"/>
      <c r="J614" s="87"/>
      <c r="K614" s="87"/>
    </row>
    <row r="615">
      <c r="G615" s="86"/>
      <c r="J615" s="87"/>
      <c r="K615" s="87"/>
    </row>
    <row r="616">
      <c r="G616" s="86"/>
      <c r="J616" s="87"/>
      <c r="K616" s="87"/>
    </row>
    <row r="617">
      <c r="G617" s="86"/>
      <c r="J617" s="87"/>
      <c r="K617" s="87"/>
    </row>
    <row r="618">
      <c r="G618" s="86"/>
      <c r="J618" s="87"/>
      <c r="K618" s="87"/>
    </row>
    <row r="619">
      <c r="G619" s="86"/>
      <c r="J619" s="87"/>
      <c r="K619" s="87"/>
    </row>
    <row r="620">
      <c r="G620" s="86"/>
      <c r="J620" s="87"/>
      <c r="K620" s="87"/>
    </row>
    <row r="621">
      <c r="G621" s="86"/>
      <c r="J621" s="87"/>
      <c r="K621" s="87"/>
    </row>
    <row r="622">
      <c r="G622" s="86"/>
      <c r="J622" s="87"/>
      <c r="K622" s="87"/>
    </row>
    <row r="623">
      <c r="G623" s="86"/>
      <c r="J623" s="87"/>
      <c r="K623" s="87"/>
    </row>
    <row r="624">
      <c r="G624" s="86"/>
      <c r="J624" s="87"/>
      <c r="K624" s="87"/>
    </row>
    <row r="625">
      <c r="G625" s="86"/>
      <c r="J625" s="87"/>
      <c r="K625" s="87"/>
    </row>
    <row r="626">
      <c r="G626" s="86"/>
      <c r="J626" s="87"/>
      <c r="K626" s="87"/>
    </row>
    <row r="627">
      <c r="G627" s="86"/>
      <c r="J627" s="87"/>
      <c r="K627" s="87"/>
    </row>
    <row r="628">
      <c r="G628" s="86"/>
      <c r="J628" s="87"/>
      <c r="K628" s="87"/>
    </row>
    <row r="629">
      <c r="G629" s="86"/>
      <c r="J629" s="87"/>
      <c r="K629" s="87"/>
    </row>
    <row r="630">
      <c r="G630" s="86"/>
      <c r="J630" s="87"/>
      <c r="K630" s="87"/>
    </row>
    <row r="631">
      <c r="G631" s="86"/>
      <c r="J631" s="87"/>
      <c r="K631" s="87"/>
    </row>
    <row r="632">
      <c r="G632" s="86"/>
      <c r="J632" s="87"/>
      <c r="K632" s="87"/>
    </row>
    <row r="633">
      <c r="G633" s="86"/>
      <c r="J633" s="87"/>
      <c r="K633" s="87"/>
    </row>
    <row r="634">
      <c r="G634" s="86"/>
      <c r="J634" s="87"/>
      <c r="K634" s="87"/>
    </row>
    <row r="635">
      <c r="G635" s="86"/>
      <c r="J635" s="87"/>
      <c r="K635" s="87"/>
    </row>
    <row r="636">
      <c r="G636" s="86"/>
      <c r="J636" s="87"/>
      <c r="K636" s="87"/>
    </row>
    <row r="637">
      <c r="G637" s="86"/>
      <c r="J637" s="87"/>
      <c r="K637" s="87"/>
    </row>
    <row r="638">
      <c r="G638" s="86"/>
      <c r="J638" s="87"/>
      <c r="K638" s="87"/>
    </row>
    <row r="639">
      <c r="G639" s="86"/>
      <c r="J639" s="87"/>
      <c r="K639" s="87"/>
    </row>
    <row r="640">
      <c r="G640" s="86"/>
      <c r="J640" s="87"/>
      <c r="K640" s="87"/>
    </row>
    <row r="641">
      <c r="G641" s="86"/>
      <c r="J641" s="87"/>
      <c r="K641" s="87"/>
    </row>
    <row r="642">
      <c r="G642" s="86"/>
      <c r="J642" s="87"/>
      <c r="K642" s="87"/>
    </row>
    <row r="643">
      <c r="G643" s="86"/>
      <c r="J643" s="87"/>
      <c r="K643" s="87"/>
    </row>
    <row r="644">
      <c r="G644" s="86"/>
      <c r="J644" s="87"/>
      <c r="K644" s="87"/>
    </row>
    <row r="645">
      <c r="G645" s="86"/>
      <c r="J645" s="87"/>
      <c r="K645" s="87"/>
    </row>
    <row r="646">
      <c r="G646" s="86"/>
      <c r="J646" s="87"/>
      <c r="K646" s="87"/>
    </row>
    <row r="647">
      <c r="G647" s="86"/>
      <c r="J647" s="87"/>
      <c r="K647" s="87"/>
    </row>
    <row r="648">
      <c r="G648" s="86"/>
      <c r="J648" s="87"/>
      <c r="K648" s="87"/>
    </row>
    <row r="649">
      <c r="G649" s="86"/>
      <c r="J649" s="87"/>
      <c r="K649" s="87"/>
    </row>
    <row r="650">
      <c r="G650" s="86"/>
      <c r="J650" s="87"/>
      <c r="K650" s="87"/>
    </row>
    <row r="651">
      <c r="G651" s="86"/>
      <c r="J651" s="87"/>
      <c r="K651" s="87"/>
    </row>
    <row r="652">
      <c r="G652" s="86"/>
      <c r="J652" s="87"/>
      <c r="K652" s="87"/>
    </row>
    <row r="653">
      <c r="G653" s="86"/>
      <c r="J653" s="87"/>
      <c r="K653" s="87"/>
    </row>
    <row r="654">
      <c r="G654" s="86"/>
      <c r="J654" s="87"/>
      <c r="K654" s="87"/>
    </row>
    <row r="655">
      <c r="G655" s="86"/>
      <c r="J655" s="87"/>
      <c r="K655" s="87"/>
    </row>
    <row r="656">
      <c r="G656" s="86"/>
      <c r="J656" s="87"/>
      <c r="K656" s="87"/>
    </row>
    <row r="657">
      <c r="G657" s="86"/>
      <c r="J657" s="87"/>
      <c r="K657" s="87"/>
    </row>
    <row r="658">
      <c r="G658" s="86"/>
      <c r="J658" s="87"/>
      <c r="K658" s="87"/>
    </row>
    <row r="659">
      <c r="G659" s="86"/>
      <c r="J659" s="87"/>
      <c r="K659" s="87"/>
    </row>
    <row r="660">
      <c r="G660" s="86"/>
      <c r="J660" s="87"/>
      <c r="K660" s="87"/>
    </row>
    <row r="661">
      <c r="G661" s="86"/>
      <c r="J661" s="87"/>
      <c r="K661" s="87"/>
    </row>
    <row r="662">
      <c r="G662" s="86"/>
      <c r="J662" s="87"/>
      <c r="K662" s="87"/>
    </row>
    <row r="663">
      <c r="G663" s="86"/>
      <c r="J663" s="87"/>
      <c r="K663" s="87"/>
    </row>
    <row r="664">
      <c r="G664" s="86"/>
      <c r="J664" s="87"/>
      <c r="K664" s="87"/>
    </row>
    <row r="665">
      <c r="G665" s="86"/>
      <c r="J665" s="87"/>
      <c r="K665" s="87"/>
    </row>
    <row r="666">
      <c r="G666" s="86"/>
      <c r="J666" s="87"/>
      <c r="K666" s="87"/>
    </row>
    <row r="667">
      <c r="G667" s="86"/>
      <c r="J667" s="87"/>
      <c r="K667" s="87"/>
    </row>
    <row r="668">
      <c r="G668" s="86"/>
      <c r="J668" s="87"/>
      <c r="K668" s="87"/>
    </row>
    <row r="669">
      <c r="G669" s="86"/>
      <c r="J669" s="87"/>
      <c r="K669" s="87"/>
    </row>
    <row r="670">
      <c r="G670" s="86"/>
      <c r="J670" s="87"/>
      <c r="K670" s="87"/>
    </row>
    <row r="671">
      <c r="G671" s="86"/>
      <c r="J671" s="87"/>
      <c r="K671" s="87"/>
    </row>
    <row r="672">
      <c r="G672" s="86"/>
      <c r="J672" s="87"/>
      <c r="K672" s="87"/>
    </row>
    <row r="673">
      <c r="G673" s="86"/>
      <c r="J673" s="87"/>
      <c r="K673" s="87"/>
    </row>
    <row r="674">
      <c r="G674" s="86"/>
      <c r="J674" s="87"/>
      <c r="K674" s="87"/>
    </row>
    <row r="675">
      <c r="G675" s="86"/>
      <c r="J675" s="87"/>
      <c r="K675" s="87"/>
    </row>
    <row r="676">
      <c r="G676" s="86"/>
      <c r="J676" s="87"/>
      <c r="K676" s="87"/>
    </row>
    <row r="677">
      <c r="G677" s="86"/>
      <c r="J677" s="87"/>
      <c r="K677" s="87"/>
    </row>
    <row r="678">
      <c r="G678" s="86"/>
      <c r="J678" s="87"/>
      <c r="K678" s="87"/>
    </row>
    <row r="679">
      <c r="G679" s="86"/>
      <c r="J679" s="87"/>
      <c r="K679" s="87"/>
    </row>
    <row r="680">
      <c r="G680" s="86"/>
      <c r="J680" s="87"/>
      <c r="K680" s="87"/>
    </row>
    <row r="681">
      <c r="G681" s="86"/>
      <c r="J681" s="87"/>
      <c r="K681" s="87"/>
    </row>
    <row r="682">
      <c r="G682" s="86"/>
      <c r="J682" s="87"/>
      <c r="K682" s="87"/>
    </row>
    <row r="683">
      <c r="G683" s="86"/>
      <c r="J683" s="87"/>
      <c r="K683" s="87"/>
    </row>
    <row r="684">
      <c r="G684" s="86"/>
      <c r="J684" s="87"/>
      <c r="K684" s="87"/>
    </row>
    <row r="685">
      <c r="G685" s="86"/>
      <c r="J685" s="87"/>
      <c r="K685" s="87"/>
    </row>
    <row r="686">
      <c r="G686" s="86"/>
      <c r="J686" s="87"/>
      <c r="K686" s="87"/>
    </row>
    <row r="687">
      <c r="G687" s="86"/>
      <c r="J687" s="87"/>
      <c r="K687" s="87"/>
    </row>
    <row r="688">
      <c r="G688" s="86"/>
      <c r="J688" s="87"/>
      <c r="K688" s="87"/>
    </row>
    <row r="689">
      <c r="G689" s="86"/>
      <c r="J689" s="87"/>
      <c r="K689" s="87"/>
    </row>
    <row r="690">
      <c r="G690" s="86"/>
      <c r="J690" s="87"/>
      <c r="K690" s="87"/>
    </row>
    <row r="691">
      <c r="G691" s="86"/>
      <c r="J691" s="87"/>
      <c r="K691" s="87"/>
    </row>
    <row r="692">
      <c r="G692" s="86"/>
      <c r="J692" s="87"/>
      <c r="K692" s="87"/>
    </row>
    <row r="693">
      <c r="G693" s="86"/>
      <c r="J693" s="87"/>
      <c r="K693" s="87"/>
    </row>
    <row r="694">
      <c r="G694" s="86"/>
      <c r="J694" s="87"/>
      <c r="K694" s="87"/>
    </row>
    <row r="695">
      <c r="G695" s="86"/>
      <c r="J695" s="87"/>
      <c r="K695" s="87"/>
    </row>
    <row r="696">
      <c r="G696" s="86"/>
      <c r="J696" s="87"/>
      <c r="K696" s="87"/>
    </row>
    <row r="697">
      <c r="G697" s="86"/>
      <c r="J697" s="87"/>
      <c r="K697" s="87"/>
    </row>
    <row r="698">
      <c r="G698" s="86"/>
      <c r="J698" s="87"/>
      <c r="K698" s="87"/>
    </row>
    <row r="699">
      <c r="G699" s="86"/>
      <c r="J699" s="87"/>
      <c r="K699" s="87"/>
    </row>
    <row r="700">
      <c r="G700" s="86"/>
      <c r="J700" s="87"/>
      <c r="K700" s="87"/>
    </row>
    <row r="701">
      <c r="G701" s="86"/>
      <c r="J701" s="87"/>
      <c r="K701" s="87"/>
    </row>
    <row r="702">
      <c r="G702" s="86"/>
      <c r="J702" s="87"/>
      <c r="K702" s="87"/>
    </row>
    <row r="703">
      <c r="G703" s="86"/>
      <c r="J703" s="87"/>
      <c r="K703" s="87"/>
    </row>
    <row r="704">
      <c r="G704" s="86"/>
      <c r="J704" s="87"/>
      <c r="K704" s="87"/>
    </row>
    <row r="705">
      <c r="G705" s="86"/>
      <c r="J705" s="87"/>
      <c r="K705" s="87"/>
    </row>
    <row r="706">
      <c r="G706" s="86"/>
      <c r="J706" s="87"/>
      <c r="K706" s="87"/>
    </row>
    <row r="707">
      <c r="G707" s="86"/>
      <c r="J707" s="87"/>
      <c r="K707" s="87"/>
    </row>
    <row r="708">
      <c r="G708" s="86"/>
      <c r="J708" s="87"/>
      <c r="K708" s="87"/>
    </row>
    <row r="709">
      <c r="G709" s="86"/>
      <c r="J709" s="87"/>
      <c r="K709" s="87"/>
    </row>
    <row r="710">
      <c r="G710" s="86"/>
      <c r="J710" s="87"/>
      <c r="K710" s="87"/>
    </row>
    <row r="711">
      <c r="G711" s="86"/>
      <c r="J711" s="87"/>
      <c r="K711" s="87"/>
    </row>
    <row r="712">
      <c r="G712" s="86"/>
      <c r="J712" s="87"/>
      <c r="K712" s="87"/>
    </row>
    <row r="713">
      <c r="G713" s="86"/>
      <c r="J713" s="87"/>
      <c r="K713" s="87"/>
    </row>
    <row r="714">
      <c r="G714" s="86"/>
      <c r="J714" s="87"/>
      <c r="K714" s="87"/>
    </row>
    <row r="715">
      <c r="G715" s="86"/>
      <c r="J715" s="87"/>
      <c r="K715" s="87"/>
    </row>
    <row r="716">
      <c r="G716" s="86"/>
      <c r="J716" s="87"/>
      <c r="K716" s="87"/>
    </row>
    <row r="717">
      <c r="G717" s="86"/>
      <c r="J717" s="87"/>
      <c r="K717" s="87"/>
    </row>
    <row r="718">
      <c r="G718" s="86"/>
      <c r="J718" s="87"/>
      <c r="K718" s="87"/>
    </row>
    <row r="719">
      <c r="G719" s="86"/>
      <c r="J719" s="87"/>
      <c r="K719" s="87"/>
    </row>
    <row r="720">
      <c r="G720" s="86"/>
      <c r="J720" s="87"/>
      <c r="K720" s="87"/>
    </row>
    <row r="721">
      <c r="G721" s="86"/>
      <c r="J721" s="87"/>
      <c r="K721" s="87"/>
    </row>
    <row r="722">
      <c r="G722" s="86"/>
      <c r="J722" s="87"/>
      <c r="K722" s="87"/>
    </row>
    <row r="723">
      <c r="G723" s="86"/>
      <c r="J723" s="87"/>
      <c r="K723" s="87"/>
    </row>
    <row r="724">
      <c r="G724" s="86"/>
      <c r="J724" s="87"/>
      <c r="K724" s="87"/>
    </row>
    <row r="725">
      <c r="G725" s="86"/>
      <c r="J725" s="87"/>
      <c r="K725" s="87"/>
    </row>
    <row r="726">
      <c r="G726" s="86"/>
      <c r="J726" s="87"/>
      <c r="K726" s="87"/>
    </row>
    <row r="727">
      <c r="G727" s="86"/>
      <c r="J727" s="87"/>
      <c r="K727" s="87"/>
    </row>
    <row r="728">
      <c r="G728" s="86"/>
      <c r="J728" s="87"/>
      <c r="K728" s="87"/>
    </row>
    <row r="729">
      <c r="G729" s="86"/>
      <c r="J729" s="87"/>
      <c r="K729" s="87"/>
    </row>
    <row r="730">
      <c r="G730" s="86"/>
      <c r="J730" s="87"/>
      <c r="K730" s="87"/>
    </row>
    <row r="731">
      <c r="G731" s="86"/>
      <c r="J731" s="87"/>
      <c r="K731" s="87"/>
    </row>
    <row r="732">
      <c r="G732" s="86"/>
      <c r="J732" s="87"/>
      <c r="K732" s="87"/>
    </row>
    <row r="733">
      <c r="G733" s="86"/>
      <c r="J733" s="87"/>
      <c r="K733" s="87"/>
    </row>
    <row r="734">
      <c r="G734" s="86"/>
      <c r="J734" s="87"/>
      <c r="K734" s="87"/>
    </row>
    <row r="735">
      <c r="G735" s="86"/>
      <c r="J735" s="87"/>
      <c r="K735" s="87"/>
    </row>
    <row r="736">
      <c r="G736" s="86"/>
      <c r="J736" s="87"/>
      <c r="K736" s="87"/>
    </row>
    <row r="737">
      <c r="G737" s="86"/>
      <c r="J737" s="87"/>
      <c r="K737" s="87"/>
    </row>
    <row r="738">
      <c r="G738" s="86"/>
      <c r="J738" s="87"/>
      <c r="K738" s="87"/>
    </row>
    <row r="739">
      <c r="G739" s="86"/>
      <c r="J739" s="87"/>
      <c r="K739" s="87"/>
    </row>
    <row r="740">
      <c r="G740" s="86"/>
      <c r="J740" s="87"/>
      <c r="K740" s="87"/>
    </row>
    <row r="741">
      <c r="G741" s="86"/>
      <c r="J741" s="87"/>
      <c r="K741" s="87"/>
    </row>
    <row r="742">
      <c r="G742" s="86"/>
      <c r="J742" s="87"/>
      <c r="K742" s="87"/>
    </row>
    <row r="743">
      <c r="G743" s="86"/>
      <c r="J743" s="87"/>
      <c r="K743" s="87"/>
    </row>
    <row r="744">
      <c r="G744" s="86"/>
      <c r="J744" s="87"/>
      <c r="K744" s="87"/>
    </row>
    <row r="745">
      <c r="G745" s="86"/>
      <c r="J745" s="87"/>
      <c r="K745" s="87"/>
    </row>
    <row r="746">
      <c r="G746" s="86"/>
      <c r="J746" s="87"/>
      <c r="K746" s="87"/>
    </row>
    <row r="747">
      <c r="G747" s="86"/>
      <c r="J747" s="87"/>
      <c r="K747" s="87"/>
    </row>
    <row r="748">
      <c r="G748" s="86"/>
      <c r="J748" s="87"/>
      <c r="K748" s="87"/>
    </row>
    <row r="749">
      <c r="G749" s="86"/>
      <c r="J749" s="87"/>
      <c r="K749" s="87"/>
    </row>
    <row r="750">
      <c r="G750" s="86"/>
      <c r="J750" s="87"/>
      <c r="K750" s="87"/>
    </row>
    <row r="751">
      <c r="G751" s="86"/>
      <c r="J751" s="87"/>
      <c r="K751" s="87"/>
    </row>
    <row r="752">
      <c r="G752" s="86"/>
      <c r="J752" s="87"/>
      <c r="K752" s="87"/>
    </row>
    <row r="753">
      <c r="G753" s="86"/>
      <c r="J753" s="87"/>
      <c r="K753" s="87"/>
    </row>
    <row r="754">
      <c r="G754" s="86"/>
      <c r="J754" s="87"/>
      <c r="K754" s="87"/>
    </row>
    <row r="755">
      <c r="G755" s="86"/>
      <c r="J755" s="87"/>
      <c r="K755" s="87"/>
    </row>
    <row r="756">
      <c r="G756" s="86"/>
      <c r="J756" s="87"/>
      <c r="K756" s="87"/>
    </row>
    <row r="757">
      <c r="G757" s="86"/>
      <c r="J757" s="87"/>
      <c r="K757" s="87"/>
    </row>
    <row r="758">
      <c r="G758" s="86"/>
      <c r="J758" s="87"/>
      <c r="K758" s="87"/>
    </row>
    <row r="759">
      <c r="G759" s="86"/>
      <c r="J759" s="87"/>
      <c r="K759" s="87"/>
    </row>
    <row r="760">
      <c r="G760" s="86"/>
      <c r="J760" s="87"/>
      <c r="K760" s="87"/>
    </row>
    <row r="761">
      <c r="G761" s="86"/>
      <c r="J761" s="87"/>
      <c r="K761" s="87"/>
    </row>
    <row r="762">
      <c r="G762" s="86"/>
      <c r="J762" s="87"/>
      <c r="K762" s="87"/>
    </row>
    <row r="763">
      <c r="G763" s="86"/>
      <c r="J763" s="87"/>
      <c r="K763" s="87"/>
    </row>
    <row r="764">
      <c r="G764" s="86"/>
      <c r="J764" s="87"/>
      <c r="K764" s="87"/>
    </row>
    <row r="765">
      <c r="G765" s="86"/>
      <c r="J765" s="87"/>
      <c r="K765" s="87"/>
    </row>
    <row r="766">
      <c r="G766" s="86"/>
      <c r="J766" s="87"/>
      <c r="K766" s="87"/>
    </row>
    <row r="767">
      <c r="G767" s="86"/>
      <c r="J767" s="87"/>
      <c r="K767" s="87"/>
    </row>
    <row r="768">
      <c r="G768" s="86"/>
      <c r="J768" s="87"/>
      <c r="K768" s="87"/>
    </row>
    <row r="769">
      <c r="G769" s="86"/>
      <c r="J769" s="87"/>
      <c r="K769" s="87"/>
    </row>
    <row r="770">
      <c r="G770" s="86"/>
      <c r="J770" s="87"/>
      <c r="K770" s="87"/>
    </row>
    <row r="771">
      <c r="G771" s="86"/>
      <c r="J771" s="87"/>
      <c r="K771" s="87"/>
    </row>
    <row r="772">
      <c r="G772" s="86"/>
      <c r="J772" s="87"/>
      <c r="K772" s="87"/>
    </row>
    <row r="773">
      <c r="G773" s="86"/>
      <c r="J773" s="87"/>
      <c r="K773" s="87"/>
    </row>
    <row r="774">
      <c r="G774" s="86"/>
      <c r="J774" s="87"/>
      <c r="K774" s="87"/>
    </row>
    <row r="775">
      <c r="G775" s="86"/>
      <c r="J775" s="87"/>
      <c r="K775" s="87"/>
    </row>
    <row r="776">
      <c r="G776" s="86"/>
      <c r="J776" s="87"/>
      <c r="K776" s="87"/>
    </row>
    <row r="777">
      <c r="G777" s="86"/>
      <c r="J777" s="87"/>
      <c r="K777" s="87"/>
    </row>
    <row r="778">
      <c r="G778" s="86"/>
      <c r="J778" s="87"/>
      <c r="K778" s="87"/>
    </row>
    <row r="779">
      <c r="G779" s="86"/>
      <c r="J779" s="87"/>
      <c r="K779" s="87"/>
    </row>
    <row r="780">
      <c r="G780" s="86"/>
      <c r="J780" s="87"/>
      <c r="K780" s="87"/>
    </row>
    <row r="781">
      <c r="G781" s="86"/>
      <c r="J781" s="87"/>
      <c r="K781" s="87"/>
    </row>
    <row r="782">
      <c r="G782" s="86"/>
      <c r="J782" s="87"/>
      <c r="K782" s="87"/>
    </row>
    <row r="783">
      <c r="G783" s="86"/>
      <c r="J783" s="87"/>
      <c r="K783" s="87"/>
    </row>
    <row r="784">
      <c r="G784" s="86"/>
      <c r="J784" s="87"/>
      <c r="K784" s="87"/>
    </row>
    <row r="785">
      <c r="G785" s="86"/>
      <c r="J785" s="87"/>
      <c r="K785" s="87"/>
    </row>
    <row r="786">
      <c r="G786" s="86"/>
      <c r="J786" s="87"/>
      <c r="K786" s="87"/>
    </row>
    <row r="787">
      <c r="G787" s="86"/>
      <c r="J787" s="87"/>
      <c r="K787" s="87"/>
    </row>
    <row r="788">
      <c r="G788" s="86"/>
      <c r="J788" s="87"/>
      <c r="K788" s="87"/>
    </row>
    <row r="789">
      <c r="G789" s="86"/>
      <c r="J789" s="87"/>
      <c r="K789" s="87"/>
    </row>
    <row r="790">
      <c r="G790" s="86"/>
      <c r="J790" s="87"/>
      <c r="K790" s="87"/>
    </row>
    <row r="791">
      <c r="G791" s="86"/>
      <c r="J791" s="87"/>
      <c r="K791" s="87"/>
    </row>
    <row r="792">
      <c r="G792" s="86"/>
      <c r="J792" s="87"/>
      <c r="K792" s="87"/>
    </row>
    <row r="793">
      <c r="G793" s="86"/>
      <c r="J793" s="87"/>
      <c r="K793" s="87"/>
    </row>
    <row r="794">
      <c r="G794" s="86"/>
      <c r="J794" s="87"/>
      <c r="K794" s="87"/>
    </row>
    <row r="795">
      <c r="G795" s="86"/>
      <c r="J795" s="87"/>
      <c r="K795" s="87"/>
    </row>
    <row r="796">
      <c r="G796" s="86"/>
      <c r="J796" s="87"/>
      <c r="K796" s="87"/>
    </row>
    <row r="797">
      <c r="G797" s="86"/>
      <c r="J797" s="87"/>
      <c r="K797" s="87"/>
    </row>
    <row r="798">
      <c r="G798" s="86"/>
      <c r="J798" s="87"/>
      <c r="K798" s="87"/>
    </row>
    <row r="799">
      <c r="G799" s="86"/>
      <c r="J799" s="87"/>
      <c r="K799" s="87"/>
    </row>
    <row r="800">
      <c r="G800" s="86"/>
      <c r="J800" s="87"/>
      <c r="K800" s="87"/>
    </row>
    <row r="801">
      <c r="G801" s="86"/>
      <c r="J801" s="87"/>
      <c r="K801" s="87"/>
    </row>
    <row r="802">
      <c r="G802" s="86"/>
      <c r="J802" s="87"/>
      <c r="K802" s="87"/>
    </row>
    <row r="803">
      <c r="G803" s="86"/>
      <c r="J803" s="87"/>
      <c r="K803" s="87"/>
    </row>
    <row r="804">
      <c r="G804" s="86"/>
      <c r="J804" s="87"/>
      <c r="K804" s="87"/>
    </row>
    <row r="805">
      <c r="G805" s="86"/>
      <c r="J805" s="87"/>
      <c r="K805" s="87"/>
    </row>
    <row r="806">
      <c r="G806" s="86"/>
      <c r="J806" s="87"/>
      <c r="K806" s="87"/>
    </row>
    <row r="807">
      <c r="G807" s="86"/>
      <c r="J807" s="87"/>
      <c r="K807" s="87"/>
    </row>
    <row r="808">
      <c r="G808" s="86"/>
      <c r="J808" s="87"/>
      <c r="K808" s="87"/>
    </row>
    <row r="809">
      <c r="G809" s="86"/>
      <c r="J809" s="87"/>
      <c r="K809" s="87"/>
    </row>
    <row r="810">
      <c r="G810" s="86"/>
      <c r="J810" s="87"/>
      <c r="K810" s="87"/>
    </row>
    <row r="811">
      <c r="G811" s="86"/>
      <c r="J811" s="87"/>
      <c r="K811" s="87"/>
    </row>
    <row r="812">
      <c r="G812" s="86"/>
      <c r="J812" s="87"/>
      <c r="K812" s="87"/>
    </row>
    <row r="813">
      <c r="G813" s="86"/>
      <c r="J813" s="87"/>
      <c r="K813" s="87"/>
    </row>
    <row r="814">
      <c r="G814" s="86"/>
      <c r="J814" s="87"/>
      <c r="K814" s="87"/>
    </row>
    <row r="815">
      <c r="G815" s="86"/>
      <c r="J815" s="87"/>
      <c r="K815" s="87"/>
    </row>
    <row r="816">
      <c r="G816" s="86"/>
      <c r="J816" s="87"/>
      <c r="K816" s="87"/>
    </row>
    <row r="817">
      <c r="G817" s="86"/>
      <c r="J817" s="87"/>
      <c r="K817" s="87"/>
    </row>
    <row r="818">
      <c r="G818" s="86"/>
      <c r="J818" s="87"/>
      <c r="K818" s="87"/>
    </row>
    <row r="819">
      <c r="G819" s="86"/>
      <c r="J819" s="87"/>
      <c r="K819" s="87"/>
    </row>
    <row r="820">
      <c r="G820" s="86"/>
      <c r="J820" s="87"/>
      <c r="K820" s="87"/>
    </row>
    <row r="821">
      <c r="G821" s="86"/>
      <c r="J821" s="87"/>
      <c r="K821" s="87"/>
    </row>
    <row r="822">
      <c r="G822" s="86"/>
      <c r="J822" s="87"/>
      <c r="K822" s="87"/>
    </row>
    <row r="823">
      <c r="G823" s="86"/>
      <c r="J823" s="87"/>
      <c r="K823" s="87"/>
    </row>
    <row r="824">
      <c r="G824" s="86"/>
      <c r="J824" s="87"/>
      <c r="K824" s="87"/>
    </row>
    <row r="825">
      <c r="G825" s="86"/>
      <c r="J825" s="87"/>
      <c r="K825" s="87"/>
    </row>
    <row r="826">
      <c r="G826" s="86"/>
      <c r="J826" s="87"/>
      <c r="K826" s="87"/>
    </row>
    <row r="827">
      <c r="G827" s="86"/>
      <c r="J827" s="87"/>
      <c r="K827" s="87"/>
    </row>
    <row r="828">
      <c r="G828" s="86"/>
      <c r="J828" s="87"/>
      <c r="K828" s="87"/>
    </row>
    <row r="829">
      <c r="G829" s="86"/>
      <c r="J829" s="87"/>
      <c r="K829" s="87"/>
    </row>
    <row r="830">
      <c r="G830" s="86"/>
      <c r="J830" s="87"/>
      <c r="K830" s="87"/>
    </row>
    <row r="831">
      <c r="G831" s="86"/>
      <c r="J831" s="87"/>
      <c r="K831" s="87"/>
    </row>
    <row r="832">
      <c r="G832" s="86"/>
      <c r="J832" s="87"/>
      <c r="K832" s="87"/>
    </row>
    <row r="833">
      <c r="G833" s="86"/>
      <c r="J833" s="87"/>
      <c r="K833" s="87"/>
    </row>
    <row r="834">
      <c r="G834" s="86"/>
      <c r="J834" s="87"/>
      <c r="K834" s="87"/>
    </row>
    <row r="835">
      <c r="G835" s="86"/>
      <c r="J835" s="87"/>
      <c r="K835" s="87"/>
    </row>
    <row r="836">
      <c r="G836" s="86"/>
      <c r="J836" s="87"/>
      <c r="K836" s="87"/>
    </row>
    <row r="837">
      <c r="G837" s="86"/>
      <c r="J837" s="87"/>
      <c r="K837" s="87"/>
    </row>
    <row r="838">
      <c r="G838" s="86"/>
      <c r="J838" s="87"/>
      <c r="K838" s="87"/>
    </row>
    <row r="839">
      <c r="G839" s="86"/>
      <c r="J839" s="87"/>
      <c r="K839" s="87"/>
    </row>
    <row r="840">
      <c r="G840" s="86"/>
      <c r="J840" s="87"/>
      <c r="K840" s="87"/>
    </row>
    <row r="841">
      <c r="G841" s="86"/>
      <c r="J841" s="87"/>
      <c r="K841" s="87"/>
    </row>
    <row r="842">
      <c r="G842" s="86"/>
      <c r="J842" s="87"/>
      <c r="K842" s="87"/>
    </row>
    <row r="843">
      <c r="G843" s="86"/>
      <c r="J843" s="87"/>
      <c r="K843" s="87"/>
    </row>
    <row r="844">
      <c r="G844" s="86"/>
      <c r="J844" s="87"/>
      <c r="K844" s="87"/>
    </row>
    <row r="845">
      <c r="G845" s="86"/>
      <c r="J845" s="87"/>
      <c r="K845" s="87"/>
    </row>
    <row r="846">
      <c r="G846" s="86"/>
      <c r="J846" s="87"/>
      <c r="K846" s="87"/>
    </row>
    <row r="847">
      <c r="G847" s="86"/>
      <c r="J847" s="87"/>
      <c r="K847" s="87"/>
    </row>
    <row r="848">
      <c r="G848" s="86"/>
      <c r="J848" s="87"/>
      <c r="K848" s="87"/>
    </row>
    <row r="849">
      <c r="G849" s="86"/>
      <c r="J849" s="87"/>
      <c r="K849" s="87"/>
    </row>
    <row r="850">
      <c r="G850" s="86"/>
      <c r="J850" s="87"/>
      <c r="K850" s="87"/>
    </row>
    <row r="851">
      <c r="G851" s="86"/>
      <c r="J851" s="87"/>
      <c r="K851" s="87"/>
    </row>
    <row r="852">
      <c r="G852" s="86"/>
      <c r="J852" s="87"/>
      <c r="K852" s="87"/>
    </row>
    <row r="853">
      <c r="G853" s="86"/>
      <c r="J853" s="87"/>
      <c r="K853" s="87"/>
    </row>
    <row r="854">
      <c r="G854" s="86"/>
      <c r="J854" s="87"/>
      <c r="K854" s="87"/>
    </row>
    <row r="855">
      <c r="G855" s="86"/>
      <c r="J855" s="87"/>
      <c r="K855" s="87"/>
    </row>
    <row r="856">
      <c r="G856" s="86"/>
      <c r="J856" s="87"/>
      <c r="K856" s="87"/>
    </row>
    <row r="857">
      <c r="G857" s="86"/>
      <c r="J857" s="87"/>
      <c r="K857" s="87"/>
    </row>
    <row r="858">
      <c r="G858" s="86"/>
      <c r="J858" s="87"/>
      <c r="K858" s="87"/>
    </row>
    <row r="859">
      <c r="G859" s="86"/>
      <c r="J859" s="87"/>
      <c r="K859" s="87"/>
    </row>
    <row r="860">
      <c r="G860" s="86"/>
      <c r="J860" s="87"/>
      <c r="K860" s="87"/>
    </row>
    <row r="861">
      <c r="G861" s="86"/>
      <c r="J861" s="87"/>
      <c r="K861" s="87"/>
    </row>
    <row r="862">
      <c r="G862" s="86"/>
      <c r="J862" s="87"/>
      <c r="K862" s="87"/>
    </row>
    <row r="863">
      <c r="G863" s="86"/>
      <c r="J863" s="87"/>
      <c r="K863" s="87"/>
    </row>
    <row r="864">
      <c r="G864" s="86"/>
      <c r="J864" s="87"/>
      <c r="K864" s="87"/>
    </row>
    <row r="865">
      <c r="G865" s="86"/>
      <c r="J865" s="87"/>
      <c r="K865" s="87"/>
    </row>
    <row r="866">
      <c r="G866" s="86"/>
      <c r="J866" s="87"/>
      <c r="K866" s="87"/>
    </row>
    <row r="867">
      <c r="G867" s="86"/>
      <c r="J867" s="87"/>
      <c r="K867" s="87"/>
    </row>
    <row r="868">
      <c r="G868" s="86"/>
      <c r="J868" s="87"/>
      <c r="K868" s="87"/>
    </row>
    <row r="869">
      <c r="G869" s="86"/>
      <c r="J869" s="87"/>
      <c r="K869" s="87"/>
    </row>
    <row r="870">
      <c r="G870" s="86"/>
      <c r="J870" s="87"/>
      <c r="K870" s="87"/>
    </row>
    <row r="871">
      <c r="G871" s="86"/>
      <c r="J871" s="87"/>
      <c r="K871" s="87"/>
    </row>
    <row r="872">
      <c r="G872" s="86"/>
      <c r="J872" s="87"/>
      <c r="K872" s="87"/>
    </row>
    <row r="873">
      <c r="G873" s="86"/>
      <c r="J873" s="87"/>
      <c r="K873" s="87"/>
    </row>
    <row r="874">
      <c r="G874" s="86"/>
      <c r="J874" s="87"/>
      <c r="K874" s="87"/>
    </row>
    <row r="875">
      <c r="G875" s="86"/>
      <c r="J875" s="87"/>
      <c r="K875" s="87"/>
    </row>
    <row r="876">
      <c r="G876" s="86"/>
      <c r="J876" s="87"/>
      <c r="K876" s="87"/>
    </row>
    <row r="877">
      <c r="G877" s="86"/>
      <c r="J877" s="87"/>
      <c r="K877" s="87"/>
    </row>
    <row r="878">
      <c r="G878" s="86"/>
      <c r="J878" s="87"/>
      <c r="K878" s="87"/>
    </row>
    <row r="879">
      <c r="G879" s="86"/>
      <c r="J879" s="87"/>
      <c r="K879" s="87"/>
    </row>
    <row r="880">
      <c r="G880" s="86"/>
      <c r="J880" s="87"/>
      <c r="K880" s="87"/>
    </row>
    <row r="881">
      <c r="G881" s="86"/>
      <c r="J881" s="87"/>
      <c r="K881" s="87"/>
    </row>
    <row r="882">
      <c r="G882" s="86"/>
      <c r="J882" s="87"/>
      <c r="K882" s="87"/>
    </row>
    <row r="883">
      <c r="G883" s="86"/>
      <c r="J883" s="87"/>
      <c r="K883" s="87"/>
    </row>
    <row r="884">
      <c r="G884" s="86"/>
      <c r="J884" s="87"/>
      <c r="K884" s="87"/>
    </row>
    <row r="885">
      <c r="G885" s="86"/>
      <c r="J885" s="87"/>
      <c r="K885" s="87"/>
    </row>
    <row r="886">
      <c r="G886" s="86"/>
      <c r="J886" s="87"/>
      <c r="K886" s="87"/>
    </row>
    <row r="887">
      <c r="G887" s="86"/>
      <c r="J887" s="87"/>
      <c r="K887" s="87"/>
    </row>
    <row r="888">
      <c r="G888" s="86"/>
      <c r="J888" s="87"/>
      <c r="K888" s="87"/>
    </row>
    <row r="889">
      <c r="G889" s="86"/>
      <c r="J889" s="87"/>
      <c r="K889" s="87"/>
    </row>
    <row r="890">
      <c r="G890" s="86"/>
      <c r="J890" s="87"/>
      <c r="K890" s="87"/>
    </row>
    <row r="891">
      <c r="G891" s="86"/>
      <c r="J891" s="87"/>
      <c r="K891" s="87"/>
    </row>
    <row r="892">
      <c r="G892" s="86"/>
      <c r="J892" s="87"/>
      <c r="K892" s="87"/>
    </row>
    <row r="893">
      <c r="G893" s="86"/>
      <c r="J893" s="87"/>
      <c r="K893" s="87"/>
    </row>
    <row r="894">
      <c r="G894" s="86"/>
      <c r="J894" s="87"/>
      <c r="K894" s="87"/>
    </row>
    <row r="895">
      <c r="G895" s="86"/>
      <c r="J895" s="87"/>
      <c r="K895" s="87"/>
    </row>
    <row r="896">
      <c r="G896" s="86"/>
      <c r="J896" s="87"/>
      <c r="K896" s="87"/>
    </row>
    <row r="897">
      <c r="G897" s="86"/>
      <c r="J897" s="87"/>
      <c r="K897" s="87"/>
    </row>
    <row r="898">
      <c r="G898" s="86"/>
      <c r="J898" s="87"/>
      <c r="K898" s="87"/>
    </row>
    <row r="899">
      <c r="G899" s="86"/>
      <c r="J899" s="87"/>
      <c r="K899" s="87"/>
    </row>
    <row r="900">
      <c r="G900" s="86"/>
      <c r="J900" s="87"/>
      <c r="K900" s="87"/>
    </row>
    <row r="901">
      <c r="G901" s="86"/>
      <c r="J901" s="87"/>
      <c r="K901" s="87"/>
    </row>
    <row r="902">
      <c r="G902" s="86"/>
      <c r="J902" s="87"/>
      <c r="K902" s="87"/>
    </row>
    <row r="903">
      <c r="G903" s="86"/>
      <c r="J903" s="87"/>
      <c r="K903" s="87"/>
    </row>
    <row r="904">
      <c r="G904" s="86"/>
      <c r="J904" s="87"/>
      <c r="K904" s="87"/>
    </row>
    <row r="905">
      <c r="G905" s="86"/>
      <c r="J905" s="87"/>
      <c r="K905" s="87"/>
    </row>
    <row r="906">
      <c r="G906" s="86"/>
      <c r="J906" s="87"/>
      <c r="K906" s="87"/>
    </row>
    <row r="907">
      <c r="G907" s="86"/>
      <c r="J907" s="87"/>
      <c r="K907" s="87"/>
    </row>
    <row r="908">
      <c r="G908" s="86"/>
      <c r="J908" s="87"/>
      <c r="K908" s="87"/>
    </row>
    <row r="909">
      <c r="G909" s="86"/>
      <c r="J909" s="87"/>
      <c r="K909" s="87"/>
    </row>
    <row r="910">
      <c r="G910" s="86"/>
      <c r="J910" s="87"/>
      <c r="K910" s="87"/>
    </row>
    <row r="911">
      <c r="G911" s="86"/>
      <c r="J911" s="87"/>
      <c r="K911" s="87"/>
    </row>
    <row r="912">
      <c r="G912" s="86"/>
      <c r="J912" s="87"/>
      <c r="K912" s="87"/>
    </row>
    <row r="913">
      <c r="G913" s="86"/>
      <c r="J913" s="87"/>
      <c r="K913" s="87"/>
    </row>
    <row r="914">
      <c r="G914" s="86"/>
      <c r="J914" s="87"/>
      <c r="K914" s="87"/>
    </row>
    <row r="915">
      <c r="G915" s="86"/>
      <c r="J915" s="87"/>
      <c r="K915" s="87"/>
    </row>
    <row r="916">
      <c r="G916" s="86"/>
      <c r="J916" s="87"/>
      <c r="K916" s="87"/>
    </row>
    <row r="917">
      <c r="G917" s="86"/>
      <c r="J917" s="87"/>
      <c r="K917" s="87"/>
    </row>
    <row r="918">
      <c r="G918" s="86"/>
      <c r="J918" s="87"/>
      <c r="K918" s="87"/>
    </row>
    <row r="919">
      <c r="G919" s="86"/>
      <c r="J919" s="87"/>
      <c r="K919" s="87"/>
    </row>
    <row r="920">
      <c r="G920" s="86"/>
      <c r="J920" s="87"/>
      <c r="K920" s="87"/>
    </row>
    <row r="921">
      <c r="G921" s="86"/>
      <c r="J921" s="87"/>
      <c r="K921" s="87"/>
    </row>
    <row r="922">
      <c r="G922" s="86"/>
      <c r="J922" s="87"/>
      <c r="K922" s="87"/>
    </row>
    <row r="923">
      <c r="G923" s="86"/>
      <c r="J923" s="87"/>
      <c r="K923" s="87"/>
    </row>
    <row r="924">
      <c r="G924" s="86"/>
      <c r="J924" s="87"/>
      <c r="K924" s="87"/>
    </row>
    <row r="925">
      <c r="G925" s="86"/>
      <c r="J925" s="87"/>
      <c r="K925" s="87"/>
    </row>
    <row r="926">
      <c r="G926" s="86"/>
      <c r="J926" s="87"/>
      <c r="K926" s="87"/>
    </row>
    <row r="927">
      <c r="G927" s="86"/>
      <c r="J927" s="87"/>
      <c r="K927" s="87"/>
    </row>
    <row r="928">
      <c r="G928" s="86"/>
      <c r="J928" s="87"/>
      <c r="K928" s="87"/>
    </row>
    <row r="929">
      <c r="G929" s="86"/>
      <c r="J929" s="87"/>
      <c r="K929" s="87"/>
    </row>
    <row r="930">
      <c r="G930" s="86"/>
      <c r="J930" s="87"/>
      <c r="K930" s="87"/>
    </row>
    <row r="931">
      <c r="G931" s="86"/>
      <c r="J931" s="87"/>
      <c r="K931" s="87"/>
    </row>
    <row r="932">
      <c r="G932" s="86"/>
      <c r="J932" s="87"/>
      <c r="K932" s="87"/>
    </row>
    <row r="933">
      <c r="G933" s="86"/>
      <c r="J933" s="87"/>
      <c r="K933" s="87"/>
    </row>
    <row r="934">
      <c r="G934" s="86"/>
      <c r="J934" s="87"/>
      <c r="K934" s="87"/>
    </row>
    <row r="935">
      <c r="G935" s="86"/>
      <c r="J935" s="87"/>
      <c r="K935" s="87"/>
    </row>
    <row r="936">
      <c r="G936" s="86"/>
      <c r="J936" s="87"/>
      <c r="K936" s="87"/>
    </row>
    <row r="937">
      <c r="G937" s="86"/>
      <c r="J937" s="87"/>
      <c r="K937" s="87"/>
    </row>
    <row r="938">
      <c r="G938" s="86"/>
      <c r="J938" s="87"/>
      <c r="K938" s="87"/>
    </row>
    <row r="939">
      <c r="G939" s="86"/>
      <c r="J939" s="87"/>
      <c r="K939" s="87"/>
    </row>
    <row r="940">
      <c r="G940" s="86"/>
      <c r="J940" s="87"/>
      <c r="K940" s="87"/>
    </row>
    <row r="941">
      <c r="G941" s="86"/>
      <c r="J941" s="87"/>
      <c r="K941" s="87"/>
    </row>
    <row r="942">
      <c r="G942" s="86"/>
      <c r="J942" s="87"/>
      <c r="K942" s="87"/>
    </row>
    <row r="943">
      <c r="G943" s="86"/>
      <c r="J943" s="87"/>
      <c r="K943" s="87"/>
    </row>
    <row r="944">
      <c r="G944" s="86"/>
      <c r="J944" s="87"/>
      <c r="K944" s="87"/>
    </row>
    <row r="945">
      <c r="G945" s="86"/>
      <c r="J945" s="87"/>
      <c r="K945" s="87"/>
    </row>
    <row r="946">
      <c r="G946" s="86"/>
      <c r="J946" s="87"/>
      <c r="K946" s="87"/>
    </row>
    <row r="947">
      <c r="G947" s="86"/>
      <c r="J947" s="87"/>
      <c r="K947" s="87"/>
    </row>
    <row r="948">
      <c r="G948" s="86"/>
      <c r="J948" s="87"/>
      <c r="K948" s="87"/>
    </row>
    <row r="949">
      <c r="G949" s="86"/>
      <c r="J949" s="87"/>
      <c r="K949" s="87"/>
    </row>
    <row r="950">
      <c r="G950" s="86"/>
      <c r="J950" s="87"/>
      <c r="K950" s="87"/>
    </row>
    <row r="951">
      <c r="G951" s="86"/>
      <c r="J951" s="87"/>
      <c r="K951" s="87"/>
    </row>
    <row r="952">
      <c r="G952" s="86"/>
      <c r="J952" s="87"/>
      <c r="K952" s="87"/>
    </row>
    <row r="953">
      <c r="G953" s="86"/>
      <c r="J953" s="87"/>
      <c r="K953" s="87"/>
    </row>
    <row r="954">
      <c r="G954" s="86"/>
      <c r="J954" s="87"/>
      <c r="K954" s="87"/>
    </row>
    <row r="955">
      <c r="G955" s="86"/>
      <c r="J955" s="87"/>
      <c r="K955" s="87"/>
    </row>
    <row r="956">
      <c r="G956" s="86"/>
      <c r="J956" s="87"/>
      <c r="K956" s="87"/>
    </row>
    <row r="957">
      <c r="G957" s="86"/>
      <c r="J957" s="87"/>
      <c r="K957" s="87"/>
    </row>
    <row r="958">
      <c r="G958" s="86"/>
      <c r="J958" s="87"/>
      <c r="K958" s="87"/>
    </row>
    <row r="959">
      <c r="G959" s="86"/>
      <c r="J959" s="87"/>
      <c r="K959" s="87"/>
    </row>
    <row r="960">
      <c r="G960" s="86"/>
      <c r="J960" s="87"/>
      <c r="K960" s="87"/>
    </row>
    <row r="961">
      <c r="G961" s="86"/>
      <c r="J961" s="87"/>
      <c r="K961" s="87"/>
    </row>
    <row r="962">
      <c r="G962" s="86"/>
      <c r="J962" s="87"/>
      <c r="K962" s="87"/>
    </row>
    <row r="963">
      <c r="G963" s="86"/>
      <c r="J963" s="87"/>
      <c r="K963" s="87"/>
    </row>
    <row r="964">
      <c r="G964" s="86"/>
      <c r="J964" s="87"/>
      <c r="K964" s="87"/>
    </row>
    <row r="965">
      <c r="G965" s="86"/>
      <c r="J965" s="87"/>
      <c r="K965" s="87"/>
    </row>
    <row r="966">
      <c r="G966" s="86"/>
      <c r="J966" s="87"/>
      <c r="K966" s="87"/>
    </row>
    <row r="967">
      <c r="G967" s="86"/>
      <c r="J967" s="87"/>
      <c r="K967" s="87"/>
    </row>
    <row r="968">
      <c r="G968" s="86"/>
      <c r="J968" s="87"/>
      <c r="K968" s="87"/>
    </row>
    <row r="969">
      <c r="G969" s="86"/>
      <c r="J969" s="87"/>
      <c r="K969" s="87"/>
    </row>
    <row r="970">
      <c r="G970" s="86"/>
      <c r="J970" s="87"/>
      <c r="K970" s="87"/>
    </row>
    <row r="971">
      <c r="G971" s="86"/>
      <c r="J971" s="87"/>
      <c r="K971" s="87"/>
    </row>
    <row r="972">
      <c r="G972" s="86"/>
      <c r="J972" s="87"/>
      <c r="K972" s="87"/>
    </row>
    <row r="973">
      <c r="G973" s="86"/>
      <c r="J973" s="87"/>
      <c r="K973" s="87"/>
    </row>
    <row r="974">
      <c r="G974" s="86"/>
      <c r="J974" s="87"/>
      <c r="K974" s="87"/>
    </row>
    <row r="975">
      <c r="G975" s="86"/>
      <c r="J975" s="87"/>
      <c r="K975" s="87"/>
    </row>
    <row r="976">
      <c r="G976" s="86"/>
      <c r="J976" s="87"/>
      <c r="K976" s="87"/>
    </row>
    <row r="977">
      <c r="G977" s="86"/>
      <c r="J977" s="87"/>
      <c r="K977" s="87"/>
    </row>
    <row r="978">
      <c r="G978" s="86"/>
      <c r="J978" s="87"/>
      <c r="K978" s="87"/>
    </row>
    <row r="979">
      <c r="G979" s="86"/>
      <c r="J979" s="87"/>
      <c r="K979" s="87"/>
    </row>
    <row r="980">
      <c r="G980" s="86"/>
      <c r="J980" s="87"/>
      <c r="K980" s="87"/>
    </row>
    <row r="981">
      <c r="G981" s="86"/>
      <c r="J981" s="87"/>
      <c r="K981" s="87"/>
    </row>
    <row r="982">
      <c r="G982" s="86"/>
      <c r="J982" s="87"/>
      <c r="K982" s="87"/>
    </row>
    <row r="983">
      <c r="G983" s="86"/>
      <c r="J983" s="87"/>
      <c r="K983" s="87"/>
    </row>
    <row r="984">
      <c r="G984" s="86"/>
      <c r="J984" s="87"/>
      <c r="K984" s="87"/>
    </row>
    <row r="985">
      <c r="G985" s="86"/>
      <c r="J985" s="87"/>
      <c r="K985" s="87"/>
    </row>
    <row r="986">
      <c r="G986" s="86"/>
      <c r="J986" s="87"/>
      <c r="K986" s="87"/>
    </row>
    <row r="987">
      <c r="G987" s="86"/>
      <c r="J987" s="87"/>
      <c r="K987" s="87"/>
    </row>
    <row r="988">
      <c r="G988" s="86"/>
      <c r="J988" s="87"/>
      <c r="K988" s="87"/>
    </row>
    <row r="989">
      <c r="G989" s="86"/>
      <c r="J989" s="87"/>
      <c r="K989" s="87"/>
    </row>
    <row r="990">
      <c r="G990" s="86"/>
      <c r="J990" s="87"/>
      <c r="K990" s="87"/>
    </row>
    <row r="991">
      <c r="G991" s="86"/>
      <c r="J991" s="87"/>
      <c r="K991" s="87"/>
    </row>
    <row r="992">
      <c r="G992" s="86"/>
      <c r="J992" s="87"/>
      <c r="K992" s="87"/>
    </row>
    <row r="993">
      <c r="G993" s="86"/>
      <c r="J993" s="87"/>
      <c r="K993" s="87"/>
    </row>
    <row r="994">
      <c r="G994" s="86"/>
      <c r="J994" s="87"/>
      <c r="K994" s="87"/>
    </row>
    <row r="995">
      <c r="G995" s="86"/>
      <c r="J995" s="87"/>
      <c r="K995" s="87"/>
    </row>
    <row r="996">
      <c r="G996" s="86"/>
      <c r="J996" s="87"/>
      <c r="K996" s="87"/>
    </row>
    <row r="997">
      <c r="G997" s="86"/>
      <c r="J997" s="87"/>
      <c r="K997" s="87"/>
    </row>
    <row r="998">
      <c r="G998" s="86"/>
      <c r="J998" s="87"/>
      <c r="K998" s="87"/>
    </row>
    <row r="999">
      <c r="G999" s="86"/>
      <c r="J999" s="87"/>
      <c r="K999" s="87"/>
    </row>
    <row r="1000">
      <c r="G1000" s="86"/>
      <c r="J1000" s="87"/>
      <c r="K1000" s="87"/>
    </row>
  </sheetData>
  <autoFilter ref="$A$1:$K$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1.38"/>
    <col customWidth="1" min="3" max="3" width="27.63"/>
    <col customWidth="1" min="4" max="4" width="17.63"/>
    <col customWidth="1" min="5" max="5" width="45.13"/>
    <col customWidth="1" min="6" max="6" width="12.63"/>
    <col customWidth="1" min="7" max="7" width="13.88"/>
    <col customWidth="1" min="8" max="8" width="11.38"/>
  </cols>
  <sheetData>
    <row r="1">
      <c r="A1" s="82" t="s">
        <v>154</v>
      </c>
      <c r="B1" s="79" t="s">
        <v>136</v>
      </c>
      <c r="C1" s="79" t="s">
        <v>135</v>
      </c>
      <c r="D1" s="79" t="s">
        <v>155</v>
      </c>
      <c r="E1" s="79" t="s">
        <v>156</v>
      </c>
      <c r="F1" s="79" t="s">
        <v>157</v>
      </c>
      <c r="G1" s="79" t="s">
        <v>158</v>
      </c>
      <c r="H1" s="79" t="s">
        <v>159</v>
      </c>
    </row>
    <row r="2">
      <c r="A2" s="85">
        <v>46099.4083687963</v>
      </c>
      <c r="B2" s="83">
        <v>6.0</v>
      </c>
      <c r="C2" s="80" t="s">
        <v>145</v>
      </c>
      <c r="D2" s="80" t="s">
        <v>160</v>
      </c>
      <c r="E2" s="80" t="s">
        <v>161</v>
      </c>
      <c r="F2" s="80" t="s">
        <v>30</v>
      </c>
      <c r="G2" s="88">
        <v>46099.0</v>
      </c>
      <c r="H2" s="80" t="s">
        <v>162</v>
      </c>
    </row>
    <row r="3">
      <c r="A3" s="85">
        <v>46099.4083687963</v>
      </c>
      <c r="B3" s="83">
        <v>7.0</v>
      </c>
      <c r="C3" s="80" t="s">
        <v>146</v>
      </c>
      <c r="D3" s="80" t="s">
        <v>160</v>
      </c>
      <c r="E3" s="80" t="s">
        <v>161</v>
      </c>
      <c r="F3" s="80" t="s">
        <v>30</v>
      </c>
      <c r="G3" s="88">
        <v>46099.0</v>
      </c>
      <c r="H3" s="80" t="s">
        <v>162</v>
      </c>
    </row>
    <row r="4">
      <c r="A4" s="85">
        <v>46099.4083687963</v>
      </c>
      <c r="B4" s="83">
        <v>17.0</v>
      </c>
      <c r="C4" s="80" t="s">
        <v>147</v>
      </c>
      <c r="D4" s="80" t="s">
        <v>163</v>
      </c>
      <c r="E4" s="80" t="s">
        <v>164</v>
      </c>
      <c r="F4" s="80" t="s">
        <v>48</v>
      </c>
      <c r="G4" s="80" t="s">
        <v>48</v>
      </c>
      <c r="H4" s="80" t="s">
        <v>165</v>
      </c>
    </row>
    <row r="5">
      <c r="A5" s="85">
        <v>46099.4083687963</v>
      </c>
      <c r="B5" s="83">
        <v>17.0</v>
      </c>
      <c r="C5" s="80" t="s">
        <v>147</v>
      </c>
      <c r="D5" s="80" t="s">
        <v>160</v>
      </c>
      <c r="E5" s="80" t="s">
        <v>161</v>
      </c>
      <c r="F5" s="80" t="s">
        <v>48</v>
      </c>
      <c r="G5" s="80" t="s">
        <v>48</v>
      </c>
      <c r="H5" s="80" t="s">
        <v>162</v>
      </c>
    </row>
    <row r="6">
      <c r="A6" s="87"/>
    </row>
    <row r="7">
      <c r="A7" s="87"/>
    </row>
    <row r="8">
      <c r="A8" s="87"/>
    </row>
    <row r="9">
      <c r="A9" s="87"/>
    </row>
    <row r="10">
      <c r="A10" s="87"/>
    </row>
    <row r="11">
      <c r="A11" s="87"/>
    </row>
    <row r="12">
      <c r="A12" s="87"/>
    </row>
    <row r="13">
      <c r="A13" s="87"/>
    </row>
    <row r="14">
      <c r="A14" s="87"/>
    </row>
    <row r="15">
      <c r="A15" s="87"/>
    </row>
    <row r="16">
      <c r="A16" s="87"/>
    </row>
    <row r="17">
      <c r="A17" s="87"/>
    </row>
    <row r="18">
      <c r="A18" s="87"/>
    </row>
    <row r="19">
      <c r="A19" s="87"/>
    </row>
    <row r="20">
      <c r="A20" s="87"/>
    </row>
    <row r="21">
      <c r="A21" s="87"/>
    </row>
    <row r="22">
      <c r="A22" s="87"/>
    </row>
    <row r="23">
      <c r="A23" s="87"/>
    </row>
    <row r="24">
      <c r="A24" s="87"/>
    </row>
    <row r="25">
      <c r="A25" s="87"/>
    </row>
    <row r="26">
      <c r="A26" s="87"/>
    </row>
    <row r="27">
      <c r="A27" s="87"/>
    </row>
    <row r="28">
      <c r="A28" s="87"/>
    </row>
    <row r="29">
      <c r="A29" s="87"/>
    </row>
    <row r="30">
      <c r="A30" s="87"/>
    </row>
    <row r="31">
      <c r="A31" s="87"/>
    </row>
    <row r="32">
      <c r="A32" s="87"/>
    </row>
    <row r="33">
      <c r="A33" s="87"/>
    </row>
    <row r="34">
      <c r="A34" s="87"/>
    </row>
    <row r="35">
      <c r="A35" s="87"/>
    </row>
    <row r="36">
      <c r="A36" s="87"/>
    </row>
    <row r="37">
      <c r="A37" s="87"/>
    </row>
    <row r="38">
      <c r="A38" s="87"/>
    </row>
    <row r="39">
      <c r="A39" s="87"/>
    </row>
    <row r="40">
      <c r="A40" s="87"/>
    </row>
    <row r="41">
      <c r="A41" s="87"/>
    </row>
    <row r="42">
      <c r="A42" s="87"/>
    </row>
    <row r="43">
      <c r="A43" s="87"/>
    </row>
    <row r="44">
      <c r="A44" s="87"/>
    </row>
    <row r="45">
      <c r="A45" s="87"/>
    </row>
    <row r="46">
      <c r="A46" s="87"/>
    </row>
    <row r="47">
      <c r="A47" s="87"/>
    </row>
    <row r="48">
      <c r="A48" s="87"/>
    </row>
    <row r="49">
      <c r="A49" s="87"/>
    </row>
    <row r="50">
      <c r="A50" s="87"/>
    </row>
    <row r="51">
      <c r="A51" s="87"/>
    </row>
    <row r="52">
      <c r="A52" s="87"/>
    </row>
    <row r="53">
      <c r="A53" s="87"/>
    </row>
    <row r="54">
      <c r="A54" s="87"/>
    </row>
    <row r="55">
      <c r="A55" s="87"/>
    </row>
    <row r="56">
      <c r="A56" s="87"/>
    </row>
    <row r="57">
      <c r="A57" s="87"/>
    </row>
    <row r="58">
      <c r="A58" s="87"/>
    </row>
    <row r="59">
      <c r="A59" s="87"/>
    </row>
    <row r="60">
      <c r="A60" s="87"/>
    </row>
    <row r="61">
      <c r="A61" s="87"/>
    </row>
    <row r="62">
      <c r="A62" s="87"/>
    </row>
    <row r="63">
      <c r="A63" s="87"/>
    </row>
    <row r="64">
      <c r="A64" s="87"/>
    </row>
    <row r="65">
      <c r="A65" s="87"/>
    </row>
    <row r="66">
      <c r="A66" s="87"/>
    </row>
    <row r="67">
      <c r="A67" s="87"/>
    </row>
    <row r="68">
      <c r="A68" s="87"/>
    </row>
    <row r="69">
      <c r="A69" s="87"/>
    </row>
    <row r="70">
      <c r="A70" s="87"/>
    </row>
    <row r="71">
      <c r="A71" s="87"/>
    </row>
    <row r="72">
      <c r="A72" s="87"/>
    </row>
    <row r="73">
      <c r="A73" s="87"/>
    </row>
    <row r="74">
      <c r="A74" s="87"/>
    </row>
    <row r="75">
      <c r="A75" s="87"/>
    </row>
    <row r="76">
      <c r="A76" s="87"/>
    </row>
    <row r="77">
      <c r="A77" s="87"/>
    </row>
    <row r="78">
      <c r="A78" s="87"/>
    </row>
    <row r="79">
      <c r="A79" s="87"/>
    </row>
    <row r="80">
      <c r="A80" s="87"/>
    </row>
    <row r="81">
      <c r="A81" s="87"/>
    </row>
    <row r="82">
      <c r="A82" s="87"/>
    </row>
    <row r="83">
      <c r="A83" s="87"/>
    </row>
    <row r="84">
      <c r="A84" s="87"/>
    </row>
    <row r="85">
      <c r="A85" s="87"/>
    </row>
    <row r="86">
      <c r="A86" s="87"/>
    </row>
    <row r="87">
      <c r="A87" s="87"/>
    </row>
    <row r="88">
      <c r="A88" s="87"/>
    </row>
    <row r="89">
      <c r="A89" s="87"/>
    </row>
    <row r="90">
      <c r="A90" s="87"/>
    </row>
    <row r="91">
      <c r="A91" s="87"/>
    </row>
    <row r="92">
      <c r="A92" s="87"/>
    </row>
    <row r="93">
      <c r="A93" s="87"/>
    </row>
    <row r="94">
      <c r="A94" s="87"/>
    </row>
    <row r="95">
      <c r="A95" s="87"/>
    </row>
    <row r="96">
      <c r="A96" s="87"/>
    </row>
    <row r="97">
      <c r="A97" s="87"/>
    </row>
    <row r="98">
      <c r="A98" s="87"/>
    </row>
    <row r="99">
      <c r="A99" s="87"/>
    </row>
    <row r="100">
      <c r="A100" s="87"/>
    </row>
    <row r="101">
      <c r="A101" s="87"/>
    </row>
    <row r="102">
      <c r="A102" s="87"/>
    </row>
    <row r="103">
      <c r="A103" s="87"/>
    </row>
    <row r="104">
      <c r="A104" s="87"/>
    </row>
    <row r="105">
      <c r="A105" s="87"/>
    </row>
    <row r="106">
      <c r="A106" s="87"/>
    </row>
    <row r="107">
      <c r="A107" s="87"/>
    </row>
    <row r="108">
      <c r="A108" s="87"/>
    </row>
    <row r="109">
      <c r="A109" s="87"/>
    </row>
    <row r="110">
      <c r="A110" s="87"/>
    </row>
    <row r="111">
      <c r="A111" s="87"/>
    </row>
    <row r="112">
      <c r="A112" s="87"/>
    </row>
    <row r="113">
      <c r="A113" s="87"/>
    </row>
    <row r="114">
      <c r="A114" s="87"/>
    </row>
    <row r="115">
      <c r="A115" s="87"/>
    </row>
    <row r="116">
      <c r="A116" s="87"/>
    </row>
    <row r="117">
      <c r="A117" s="87"/>
    </row>
    <row r="118">
      <c r="A118" s="87"/>
    </row>
    <row r="119">
      <c r="A119" s="87"/>
    </row>
    <row r="120">
      <c r="A120" s="87"/>
    </row>
    <row r="121">
      <c r="A121" s="87"/>
    </row>
    <row r="122">
      <c r="A122" s="87"/>
    </row>
    <row r="123">
      <c r="A123" s="87"/>
    </row>
    <row r="124">
      <c r="A124" s="87"/>
    </row>
    <row r="125">
      <c r="A125" s="87"/>
    </row>
    <row r="126">
      <c r="A126" s="87"/>
    </row>
    <row r="127">
      <c r="A127" s="87"/>
    </row>
    <row r="128">
      <c r="A128" s="87"/>
    </row>
    <row r="129">
      <c r="A129" s="87"/>
    </row>
    <row r="130">
      <c r="A130" s="87"/>
    </row>
    <row r="131">
      <c r="A131" s="87"/>
    </row>
    <row r="132">
      <c r="A132" s="87"/>
    </row>
    <row r="133">
      <c r="A133" s="87"/>
    </row>
    <row r="134">
      <c r="A134" s="87"/>
    </row>
    <row r="135">
      <c r="A135" s="87"/>
    </row>
    <row r="136">
      <c r="A136" s="87"/>
    </row>
    <row r="137">
      <c r="A137" s="87"/>
    </row>
    <row r="138">
      <c r="A138" s="87"/>
    </row>
    <row r="139">
      <c r="A139" s="87"/>
    </row>
    <row r="140">
      <c r="A140" s="87"/>
    </row>
    <row r="141">
      <c r="A141" s="87"/>
    </row>
    <row r="142">
      <c r="A142" s="87"/>
    </row>
    <row r="143">
      <c r="A143" s="87"/>
    </row>
    <row r="144">
      <c r="A144" s="87"/>
    </row>
    <row r="145">
      <c r="A145" s="87"/>
    </row>
    <row r="146">
      <c r="A146" s="87"/>
    </row>
    <row r="147">
      <c r="A147" s="87"/>
    </row>
    <row r="148">
      <c r="A148" s="87"/>
    </row>
    <row r="149">
      <c r="A149" s="87"/>
    </row>
    <row r="150">
      <c r="A150" s="87"/>
    </row>
    <row r="151">
      <c r="A151" s="87"/>
    </row>
    <row r="152">
      <c r="A152" s="87"/>
    </row>
    <row r="153">
      <c r="A153" s="87"/>
    </row>
    <row r="154">
      <c r="A154" s="87"/>
    </row>
    <row r="155">
      <c r="A155" s="87"/>
    </row>
    <row r="156">
      <c r="A156" s="87"/>
    </row>
    <row r="157">
      <c r="A157" s="87"/>
    </row>
    <row r="158">
      <c r="A158" s="87"/>
    </row>
    <row r="159">
      <c r="A159" s="87"/>
    </row>
    <row r="160">
      <c r="A160" s="87"/>
    </row>
    <row r="161">
      <c r="A161" s="87"/>
    </row>
    <row r="162">
      <c r="A162" s="87"/>
    </row>
    <row r="163">
      <c r="A163" s="87"/>
    </row>
    <row r="164">
      <c r="A164" s="87"/>
    </row>
    <row r="165">
      <c r="A165" s="87"/>
    </row>
    <row r="166">
      <c r="A166" s="87"/>
    </row>
    <row r="167">
      <c r="A167" s="87"/>
    </row>
    <row r="168">
      <c r="A168" s="87"/>
    </row>
    <row r="169">
      <c r="A169" s="87"/>
    </row>
    <row r="170">
      <c r="A170" s="87"/>
    </row>
    <row r="171">
      <c r="A171" s="87"/>
    </row>
    <row r="172">
      <c r="A172" s="87"/>
    </row>
    <row r="173">
      <c r="A173" s="87"/>
    </row>
    <row r="174">
      <c r="A174" s="87"/>
    </row>
    <row r="175">
      <c r="A175" s="87"/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  <row r="201">
      <c r="A201" s="87"/>
    </row>
    <row r="202">
      <c r="A202" s="87"/>
    </row>
    <row r="203">
      <c r="A203" s="87"/>
    </row>
    <row r="204">
      <c r="A204" s="87"/>
    </row>
    <row r="205">
      <c r="A205" s="87"/>
    </row>
    <row r="206">
      <c r="A206" s="87"/>
    </row>
    <row r="207">
      <c r="A207" s="87"/>
    </row>
    <row r="208">
      <c r="A208" s="87"/>
    </row>
    <row r="209">
      <c r="A209" s="87"/>
    </row>
    <row r="210">
      <c r="A210" s="87"/>
    </row>
    <row r="211">
      <c r="A211" s="87"/>
    </row>
    <row r="212">
      <c r="A212" s="87"/>
    </row>
    <row r="213">
      <c r="A213" s="87"/>
    </row>
    <row r="214">
      <c r="A214" s="87"/>
    </row>
    <row r="215">
      <c r="A215" s="87"/>
    </row>
    <row r="216">
      <c r="A216" s="87"/>
    </row>
    <row r="217">
      <c r="A217" s="87"/>
    </row>
    <row r="218">
      <c r="A218" s="87"/>
    </row>
    <row r="219">
      <c r="A219" s="87"/>
    </row>
    <row r="220">
      <c r="A220" s="87"/>
    </row>
    <row r="221">
      <c r="A221" s="87"/>
    </row>
    <row r="222">
      <c r="A222" s="87"/>
    </row>
    <row r="223">
      <c r="A223" s="87"/>
    </row>
    <row r="224">
      <c r="A224" s="87"/>
    </row>
    <row r="225">
      <c r="A225" s="87"/>
    </row>
    <row r="226">
      <c r="A226" s="87"/>
    </row>
    <row r="227">
      <c r="A227" s="87"/>
    </row>
    <row r="228">
      <c r="A228" s="87"/>
    </row>
    <row r="229">
      <c r="A229" s="87"/>
    </row>
    <row r="230">
      <c r="A230" s="87"/>
    </row>
    <row r="231">
      <c r="A231" s="87"/>
    </row>
    <row r="232">
      <c r="A232" s="87"/>
    </row>
    <row r="233">
      <c r="A233" s="87"/>
    </row>
    <row r="234">
      <c r="A234" s="87"/>
    </row>
    <row r="235">
      <c r="A235" s="87"/>
    </row>
    <row r="236">
      <c r="A236" s="87"/>
    </row>
    <row r="237">
      <c r="A237" s="87"/>
    </row>
    <row r="238">
      <c r="A238" s="87"/>
    </row>
    <row r="239">
      <c r="A239" s="87"/>
    </row>
    <row r="240">
      <c r="A240" s="87"/>
    </row>
    <row r="241">
      <c r="A241" s="87"/>
    </row>
    <row r="242">
      <c r="A242" s="87"/>
    </row>
    <row r="243">
      <c r="A243" s="87"/>
    </row>
    <row r="244">
      <c r="A244" s="87"/>
    </row>
    <row r="245">
      <c r="A245" s="87"/>
    </row>
    <row r="246">
      <c r="A246" s="87"/>
    </row>
    <row r="247">
      <c r="A247" s="87"/>
    </row>
    <row r="248">
      <c r="A248" s="87"/>
    </row>
    <row r="249">
      <c r="A249" s="87"/>
    </row>
    <row r="250">
      <c r="A250" s="87"/>
    </row>
    <row r="251">
      <c r="A251" s="87"/>
    </row>
    <row r="252">
      <c r="A252" s="87"/>
    </row>
    <row r="253">
      <c r="A253" s="87"/>
    </row>
    <row r="254">
      <c r="A254" s="87"/>
    </row>
    <row r="255">
      <c r="A255" s="87"/>
    </row>
    <row r="256">
      <c r="A256" s="87"/>
    </row>
    <row r="257">
      <c r="A257" s="87"/>
    </row>
    <row r="258">
      <c r="A258" s="87"/>
    </row>
    <row r="259">
      <c r="A259" s="87"/>
    </row>
    <row r="260">
      <c r="A260" s="87"/>
    </row>
    <row r="261">
      <c r="A261" s="87"/>
    </row>
    <row r="262">
      <c r="A262" s="87"/>
    </row>
    <row r="263">
      <c r="A263" s="87"/>
    </row>
    <row r="264">
      <c r="A264" s="87"/>
    </row>
    <row r="265">
      <c r="A265" s="87"/>
    </row>
    <row r="266">
      <c r="A266" s="87"/>
    </row>
    <row r="267">
      <c r="A267" s="87"/>
    </row>
    <row r="268">
      <c r="A268" s="87"/>
    </row>
    <row r="269">
      <c r="A269" s="87"/>
    </row>
    <row r="270">
      <c r="A270" s="87"/>
    </row>
    <row r="271">
      <c r="A271" s="87"/>
    </row>
    <row r="272">
      <c r="A272" s="87"/>
    </row>
    <row r="273">
      <c r="A273" s="87"/>
    </row>
    <row r="274">
      <c r="A274" s="87"/>
    </row>
    <row r="275">
      <c r="A275" s="87"/>
    </row>
    <row r="276">
      <c r="A276" s="87"/>
    </row>
    <row r="277">
      <c r="A277" s="87"/>
    </row>
    <row r="278">
      <c r="A278" s="87"/>
    </row>
    <row r="279">
      <c r="A279" s="87"/>
    </row>
    <row r="280">
      <c r="A280" s="87"/>
    </row>
    <row r="281">
      <c r="A281" s="87"/>
    </row>
    <row r="282">
      <c r="A282" s="87"/>
    </row>
    <row r="283">
      <c r="A283" s="87"/>
    </row>
    <row r="284">
      <c r="A284" s="87"/>
    </row>
    <row r="285">
      <c r="A285" s="87"/>
    </row>
    <row r="286">
      <c r="A286" s="87"/>
    </row>
    <row r="287">
      <c r="A287" s="87"/>
    </row>
    <row r="288">
      <c r="A288" s="87"/>
    </row>
    <row r="289">
      <c r="A289" s="87"/>
    </row>
    <row r="290">
      <c r="A290" s="87"/>
    </row>
    <row r="291">
      <c r="A291" s="87"/>
    </row>
    <row r="292">
      <c r="A292" s="87"/>
    </row>
    <row r="293">
      <c r="A293" s="87"/>
    </row>
    <row r="294">
      <c r="A294" s="87"/>
    </row>
    <row r="295">
      <c r="A295" s="87"/>
    </row>
    <row r="296">
      <c r="A296" s="87"/>
    </row>
    <row r="297">
      <c r="A297" s="87"/>
    </row>
    <row r="298">
      <c r="A298" s="87"/>
    </row>
    <row r="299">
      <c r="A299" s="87"/>
    </row>
    <row r="300">
      <c r="A300" s="87"/>
    </row>
    <row r="301">
      <c r="A301" s="87"/>
    </row>
    <row r="302">
      <c r="A302" s="87"/>
    </row>
    <row r="303">
      <c r="A303" s="87"/>
    </row>
    <row r="304">
      <c r="A304" s="87"/>
    </row>
    <row r="305">
      <c r="A305" s="87"/>
    </row>
    <row r="306">
      <c r="A306" s="87"/>
    </row>
    <row r="307">
      <c r="A307" s="87"/>
    </row>
    <row r="308">
      <c r="A308" s="87"/>
    </row>
    <row r="309">
      <c r="A309" s="87"/>
    </row>
    <row r="310">
      <c r="A310" s="87"/>
    </row>
    <row r="311">
      <c r="A311" s="87"/>
    </row>
    <row r="312">
      <c r="A312" s="87"/>
    </row>
    <row r="313">
      <c r="A313" s="87"/>
    </row>
    <row r="314">
      <c r="A314" s="87"/>
    </row>
    <row r="315">
      <c r="A315" s="87"/>
    </row>
    <row r="316">
      <c r="A316" s="87"/>
    </row>
    <row r="317">
      <c r="A317" s="87"/>
    </row>
    <row r="318">
      <c r="A318" s="87"/>
    </row>
    <row r="319">
      <c r="A319" s="87"/>
    </row>
    <row r="320">
      <c r="A320" s="87"/>
    </row>
    <row r="321">
      <c r="A321" s="87"/>
    </row>
    <row r="322">
      <c r="A322" s="87"/>
    </row>
    <row r="323">
      <c r="A323" s="87"/>
    </row>
    <row r="324">
      <c r="A324" s="87"/>
    </row>
    <row r="325">
      <c r="A325" s="87"/>
    </row>
    <row r="326">
      <c r="A326" s="87"/>
    </row>
    <row r="327">
      <c r="A327" s="87"/>
    </row>
    <row r="328">
      <c r="A328" s="87"/>
    </row>
    <row r="329">
      <c r="A329" s="87"/>
    </row>
    <row r="330">
      <c r="A330" s="87"/>
    </row>
    <row r="331">
      <c r="A331" s="87"/>
    </row>
    <row r="332">
      <c r="A332" s="87"/>
    </row>
    <row r="333">
      <c r="A333" s="87"/>
    </row>
    <row r="334">
      <c r="A334" s="87"/>
    </row>
    <row r="335">
      <c r="A335" s="87"/>
    </row>
    <row r="336">
      <c r="A336" s="87"/>
    </row>
    <row r="337">
      <c r="A337" s="87"/>
    </row>
    <row r="338">
      <c r="A338" s="87"/>
    </row>
    <row r="339">
      <c r="A339" s="87"/>
    </row>
    <row r="340">
      <c r="A340" s="87"/>
    </row>
    <row r="341">
      <c r="A341" s="87"/>
    </row>
    <row r="342">
      <c r="A342" s="87"/>
    </row>
    <row r="343">
      <c r="A343" s="87"/>
    </row>
    <row r="344">
      <c r="A344" s="87"/>
    </row>
    <row r="345">
      <c r="A345" s="87"/>
    </row>
    <row r="346">
      <c r="A346" s="87"/>
    </row>
    <row r="347">
      <c r="A347" s="87"/>
    </row>
    <row r="348">
      <c r="A348" s="87"/>
    </row>
    <row r="349">
      <c r="A349" s="87"/>
    </row>
    <row r="350">
      <c r="A350" s="87"/>
    </row>
    <row r="351">
      <c r="A351" s="87"/>
    </row>
    <row r="352">
      <c r="A352" s="87"/>
    </row>
    <row r="353">
      <c r="A353" s="87"/>
    </row>
    <row r="354">
      <c r="A354" s="87"/>
    </row>
    <row r="355">
      <c r="A355" s="87"/>
    </row>
    <row r="356">
      <c r="A356" s="87"/>
    </row>
    <row r="357">
      <c r="A357" s="87"/>
    </row>
    <row r="358">
      <c r="A358" s="87"/>
    </row>
    <row r="359">
      <c r="A359" s="87"/>
    </row>
    <row r="360">
      <c r="A360" s="87"/>
    </row>
    <row r="361">
      <c r="A361" s="87"/>
    </row>
    <row r="362">
      <c r="A362" s="87"/>
    </row>
    <row r="363">
      <c r="A363" s="87"/>
    </row>
    <row r="364">
      <c r="A364" s="87"/>
    </row>
    <row r="365">
      <c r="A365" s="87"/>
    </row>
    <row r="366">
      <c r="A366" s="87"/>
    </row>
    <row r="367">
      <c r="A367" s="87"/>
    </row>
    <row r="368">
      <c r="A368" s="87"/>
    </row>
    <row r="369">
      <c r="A369" s="87"/>
    </row>
    <row r="370">
      <c r="A370" s="87"/>
    </row>
    <row r="371">
      <c r="A371" s="87"/>
    </row>
    <row r="372">
      <c r="A372" s="87"/>
    </row>
    <row r="373">
      <c r="A373" s="87"/>
    </row>
    <row r="374">
      <c r="A374" s="87"/>
    </row>
    <row r="375">
      <c r="A375" s="87"/>
    </row>
    <row r="376">
      <c r="A376" s="87"/>
    </row>
    <row r="377">
      <c r="A377" s="87"/>
    </row>
    <row r="378">
      <c r="A378" s="87"/>
    </row>
    <row r="379">
      <c r="A379" s="87"/>
    </row>
    <row r="380">
      <c r="A380" s="87"/>
    </row>
    <row r="381">
      <c r="A381" s="87"/>
    </row>
    <row r="382">
      <c r="A382" s="87"/>
    </row>
    <row r="383">
      <c r="A383" s="87"/>
    </row>
    <row r="384">
      <c r="A384" s="87"/>
    </row>
    <row r="385">
      <c r="A385" s="87"/>
    </row>
    <row r="386">
      <c r="A386" s="87"/>
    </row>
    <row r="387">
      <c r="A387" s="87"/>
    </row>
    <row r="388">
      <c r="A388" s="87"/>
    </row>
    <row r="389">
      <c r="A389" s="87"/>
    </row>
    <row r="390">
      <c r="A390" s="87"/>
    </row>
    <row r="391">
      <c r="A391" s="87"/>
    </row>
    <row r="392">
      <c r="A392" s="87"/>
    </row>
    <row r="393">
      <c r="A393" s="87"/>
    </row>
    <row r="394">
      <c r="A394" s="87"/>
    </row>
    <row r="395">
      <c r="A395" s="87"/>
    </row>
    <row r="396">
      <c r="A396" s="87"/>
    </row>
    <row r="397">
      <c r="A397" s="87"/>
    </row>
    <row r="398">
      <c r="A398" s="87"/>
    </row>
    <row r="399">
      <c r="A399" s="87"/>
    </row>
    <row r="400">
      <c r="A400" s="87"/>
    </row>
    <row r="401">
      <c r="A401" s="87"/>
    </row>
    <row r="402">
      <c r="A402" s="87"/>
    </row>
    <row r="403">
      <c r="A403" s="87"/>
    </row>
    <row r="404">
      <c r="A404" s="87"/>
    </row>
    <row r="405">
      <c r="A405" s="87"/>
    </row>
    <row r="406">
      <c r="A406" s="87"/>
    </row>
    <row r="407">
      <c r="A407" s="87"/>
    </row>
    <row r="408">
      <c r="A408" s="87"/>
    </row>
    <row r="409">
      <c r="A409" s="87"/>
    </row>
    <row r="410">
      <c r="A410" s="87"/>
    </row>
    <row r="411">
      <c r="A411" s="87"/>
    </row>
    <row r="412">
      <c r="A412" s="87"/>
    </row>
    <row r="413">
      <c r="A413" s="87"/>
    </row>
    <row r="414">
      <c r="A414" s="87"/>
    </row>
    <row r="415">
      <c r="A415" s="87"/>
    </row>
    <row r="416">
      <c r="A416" s="87"/>
    </row>
    <row r="417">
      <c r="A417" s="87"/>
    </row>
    <row r="418">
      <c r="A418" s="87"/>
    </row>
    <row r="419">
      <c r="A419" s="87"/>
    </row>
    <row r="420">
      <c r="A420" s="87"/>
    </row>
    <row r="421">
      <c r="A421" s="87"/>
    </row>
    <row r="422">
      <c r="A422" s="87"/>
    </row>
    <row r="423">
      <c r="A423" s="87"/>
    </row>
    <row r="424">
      <c r="A424" s="87"/>
    </row>
    <row r="425">
      <c r="A425" s="87"/>
    </row>
    <row r="426">
      <c r="A426" s="87"/>
    </row>
    <row r="427">
      <c r="A427" s="87"/>
    </row>
    <row r="428">
      <c r="A428" s="87"/>
    </row>
    <row r="429">
      <c r="A429" s="87"/>
    </row>
    <row r="430">
      <c r="A430" s="87"/>
    </row>
    <row r="431">
      <c r="A431" s="87"/>
    </row>
    <row r="432">
      <c r="A432" s="87"/>
    </row>
    <row r="433">
      <c r="A433" s="87"/>
    </row>
    <row r="434">
      <c r="A434" s="87"/>
    </row>
    <row r="435">
      <c r="A435" s="87"/>
    </row>
    <row r="436">
      <c r="A436" s="87"/>
    </row>
    <row r="437">
      <c r="A437" s="87"/>
    </row>
    <row r="438">
      <c r="A438" s="87"/>
    </row>
    <row r="439">
      <c r="A439" s="87"/>
    </row>
    <row r="440">
      <c r="A440" s="87"/>
    </row>
    <row r="441">
      <c r="A441" s="87"/>
    </row>
    <row r="442">
      <c r="A442" s="87"/>
    </row>
    <row r="443">
      <c r="A443" s="87"/>
    </row>
    <row r="444">
      <c r="A444" s="87"/>
    </row>
    <row r="445">
      <c r="A445" s="87"/>
    </row>
    <row r="446">
      <c r="A446" s="87"/>
    </row>
    <row r="447">
      <c r="A447" s="87"/>
    </row>
    <row r="448">
      <c r="A448" s="87"/>
    </row>
    <row r="449">
      <c r="A449" s="87"/>
    </row>
    <row r="450">
      <c r="A450" s="87"/>
    </row>
    <row r="451">
      <c r="A451" s="87"/>
    </row>
    <row r="452">
      <c r="A452" s="87"/>
    </row>
    <row r="453">
      <c r="A453" s="87"/>
    </row>
    <row r="454">
      <c r="A454" s="87"/>
    </row>
    <row r="455">
      <c r="A455" s="87"/>
    </row>
    <row r="456">
      <c r="A456" s="87"/>
    </row>
    <row r="457">
      <c r="A457" s="87"/>
    </row>
    <row r="458">
      <c r="A458" s="87"/>
    </row>
    <row r="459">
      <c r="A459" s="87"/>
    </row>
    <row r="460">
      <c r="A460" s="87"/>
    </row>
    <row r="461">
      <c r="A461" s="87"/>
    </row>
    <row r="462">
      <c r="A462" s="87"/>
    </row>
    <row r="463">
      <c r="A463" s="87"/>
    </row>
    <row r="464">
      <c r="A464" s="87"/>
    </row>
    <row r="465">
      <c r="A465" s="87"/>
    </row>
    <row r="466">
      <c r="A466" s="87"/>
    </row>
    <row r="467">
      <c r="A467" s="87"/>
    </row>
    <row r="468">
      <c r="A468" s="87"/>
    </row>
    <row r="469">
      <c r="A469" s="87"/>
    </row>
    <row r="470">
      <c r="A470" s="87"/>
    </row>
    <row r="471">
      <c r="A471" s="87"/>
    </row>
    <row r="472">
      <c r="A472" s="87"/>
    </row>
    <row r="473">
      <c r="A473" s="87"/>
    </row>
    <row r="474">
      <c r="A474" s="87"/>
    </row>
    <row r="475">
      <c r="A475" s="87"/>
    </row>
    <row r="476">
      <c r="A476" s="87"/>
    </row>
    <row r="477">
      <c r="A477" s="87"/>
    </row>
    <row r="478">
      <c r="A478" s="87"/>
    </row>
    <row r="479">
      <c r="A479" s="87"/>
    </row>
    <row r="480">
      <c r="A480" s="87"/>
    </row>
    <row r="481">
      <c r="A481" s="87"/>
    </row>
    <row r="482">
      <c r="A482" s="87"/>
    </row>
    <row r="483">
      <c r="A483" s="87"/>
    </row>
    <row r="484">
      <c r="A484" s="87"/>
    </row>
    <row r="485">
      <c r="A485" s="87"/>
    </row>
    <row r="486">
      <c r="A486" s="87"/>
    </row>
    <row r="487">
      <c r="A487" s="87"/>
    </row>
    <row r="488">
      <c r="A488" s="87"/>
    </row>
    <row r="489">
      <c r="A489" s="87"/>
    </row>
    <row r="490">
      <c r="A490" s="87"/>
    </row>
    <row r="491">
      <c r="A491" s="87"/>
    </row>
    <row r="492">
      <c r="A492" s="87"/>
    </row>
    <row r="493">
      <c r="A493" s="87"/>
    </row>
    <row r="494">
      <c r="A494" s="87"/>
    </row>
    <row r="495">
      <c r="A495" s="87"/>
    </row>
    <row r="496">
      <c r="A496" s="87"/>
    </row>
    <row r="497">
      <c r="A497" s="87"/>
    </row>
    <row r="498">
      <c r="A498" s="87"/>
    </row>
    <row r="499">
      <c r="A499" s="87"/>
    </row>
    <row r="500">
      <c r="A500" s="87"/>
    </row>
    <row r="501">
      <c r="A501" s="87"/>
    </row>
    <row r="502">
      <c r="A502" s="87"/>
    </row>
    <row r="503">
      <c r="A503" s="87"/>
    </row>
    <row r="504">
      <c r="A504" s="87"/>
    </row>
    <row r="505">
      <c r="A505" s="87"/>
    </row>
    <row r="506">
      <c r="A506" s="87"/>
    </row>
    <row r="507">
      <c r="A507" s="87"/>
    </row>
    <row r="508">
      <c r="A508" s="87"/>
    </row>
    <row r="509">
      <c r="A509" s="87"/>
    </row>
    <row r="510">
      <c r="A510" s="87"/>
    </row>
    <row r="511">
      <c r="A511" s="87"/>
    </row>
    <row r="512">
      <c r="A512" s="87"/>
    </row>
    <row r="513">
      <c r="A513" s="87"/>
    </row>
    <row r="514">
      <c r="A514" s="87"/>
    </row>
    <row r="515">
      <c r="A515" s="87"/>
    </row>
    <row r="516">
      <c r="A516" s="87"/>
    </row>
    <row r="517">
      <c r="A517" s="87"/>
    </row>
    <row r="518">
      <c r="A518" s="87"/>
    </row>
    <row r="519">
      <c r="A519" s="87"/>
    </row>
    <row r="520">
      <c r="A520" s="87"/>
    </row>
    <row r="521">
      <c r="A521" s="87"/>
    </row>
    <row r="522">
      <c r="A522" s="87"/>
    </row>
    <row r="523">
      <c r="A523" s="87"/>
    </row>
    <row r="524">
      <c r="A524" s="87"/>
    </row>
    <row r="525">
      <c r="A525" s="87"/>
    </row>
    <row r="526">
      <c r="A526" s="87"/>
    </row>
    <row r="527">
      <c r="A527" s="87"/>
    </row>
    <row r="528">
      <c r="A528" s="87"/>
    </row>
    <row r="529">
      <c r="A529" s="87"/>
    </row>
    <row r="530">
      <c r="A530" s="87"/>
    </row>
    <row r="531">
      <c r="A531" s="87"/>
    </row>
    <row r="532">
      <c r="A532" s="87"/>
    </row>
    <row r="533">
      <c r="A533" s="87"/>
    </row>
    <row r="534">
      <c r="A534" s="87"/>
    </row>
    <row r="535">
      <c r="A535" s="87"/>
    </row>
    <row r="536">
      <c r="A536" s="87"/>
    </row>
    <row r="537">
      <c r="A537" s="87"/>
    </row>
    <row r="538">
      <c r="A538" s="87"/>
    </row>
    <row r="539">
      <c r="A539" s="87"/>
    </row>
    <row r="540">
      <c r="A540" s="87"/>
    </row>
    <row r="541">
      <c r="A541" s="87"/>
    </row>
    <row r="542">
      <c r="A542" s="87"/>
    </row>
    <row r="543">
      <c r="A543" s="87"/>
    </row>
    <row r="544">
      <c r="A544" s="87"/>
    </row>
    <row r="545">
      <c r="A545" s="87"/>
    </row>
    <row r="546">
      <c r="A546" s="87"/>
    </row>
    <row r="547">
      <c r="A547" s="87"/>
    </row>
    <row r="548">
      <c r="A548" s="87"/>
    </row>
    <row r="549">
      <c r="A549" s="87"/>
    </row>
    <row r="550">
      <c r="A550" s="87"/>
    </row>
    <row r="551">
      <c r="A551" s="87"/>
    </row>
    <row r="552">
      <c r="A552" s="87"/>
    </row>
    <row r="553">
      <c r="A553" s="87"/>
    </row>
    <row r="554">
      <c r="A554" s="87"/>
    </row>
    <row r="555">
      <c r="A555" s="87"/>
    </row>
    <row r="556">
      <c r="A556" s="87"/>
    </row>
    <row r="557">
      <c r="A557" s="87"/>
    </row>
    <row r="558">
      <c r="A558" s="87"/>
    </row>
    <row r="559">
      <c r="A559" s="87"/>
    </row>
    <row r="560">
      <c r="A560" s="87"/>
    </row>
    <row r="561">
      <c r="A561" s="87"/>
    </row>
    <row r="562">
      <c r="A562" s="87"/>
    </row>
    <row r="563">
      <c r="A563" s="87"/>
    </row>
    <row r="564">
      <c r="A564" s="87"/>
    </row>
    <row r="565">
      <c r="A565" s="87"/>
    </row>
    <row r="566">
      <c r="A566" s="87"/>
    </row>
    <row r="567">
      <c r="A567" s="87"/>
    </row>
    <row r="568">
      <c r="A568" s="87"/>
    </row>
    <row r="569">
      <c r="A569" s="87"/>
    </row>
    <row r="570">
      <c r="A570" s="87"/>
    </row>
    <row r="571">
      <c r="A571" s="87"/>
    </row>
    <row r="572">
      <c r="A572" s="87"/>
    </row>
    <row r="573">
      <c r="A573" s="87"/>
    </row>
    <row r="574">
      <c r="A574" s="87"/>
    </row>
    <row r="575">
      <c r="A575" s="87"/>
    </row>
    <row r="576">
      <c r="A576" s="87"/>
    </row>
    <row r="577">
      <c r="A577" s="87"/>
    </row>
    <row r="578">
      <c r="A578" s="87"/>
    </row>
    <row r="579">
      <c r="A579" s="87"/>
    </row>
    <row r="580">
      <c r="A580" s="87"/>
    </row>
    <row r="581">
      <c r="A581" s="87"/>
    </row>
    <row r="582">
      <c r="A582" s="87"/>
    </row>
    <row r="583">
      <c r="A583" s="87"/>
    </row>
    <row r="584">
      <c r="A584" s="87"/>
    </row>
    <row r="585">
      <c r="A585" s="87"/>
    </row>
    <row r="586">
      <c r="A586" s="87"/>
    </row>
    <row r="587">
      <c r="A587" s="87"/>
    </row>
    <row r="588">
      <c r="A588" s="87"/>
    </row>
    <row r="589">
      <c r="A589" s="87"/>
    </row>
    <row r="590">
      <c r="A590" s="87"/>
    </row>
    <row r="591">
      <c r="A591" s="87"/>
    </row>
    <row r="592">
      <c r="A592" s="87"/>
    </row>
    <row r="593">
      <c r="A593" s="87"/>
    </row>
    <row r="594">
      <c r="A594" s="87"/>
    </row>
    <row r="595">
      <c r="A595" s="87"/>
    </row>
    <row r="596">
      <c r="A596" s="87"/>
    </row>
    <row r="597">
      <c r="A597" s="87"/>
    </row>
    <row r="598">
      <c r="A598" s="87"/>
    </row>
    <row r="599">
      <c r="A599" s="87"/>
    </row>
    <row r="600">
      <c r="A600" s="87"/>
    </row>
    <row r="601">
      <c r="A601" s="87"/>
    </row>
    <row r="602">
      <c r="A602" s="87"/>
    </row>
    <row r="603">
      <c r="A603" s="87"/>
    </row>
    <row r="604">
      <c r="A604" s="87"/>
    </row>
    <row r="605">
      <c r="A605" s="87"/>
    </row>
    <row r="606">
      <c r="A606" s="87"/>
    </row>
    <row r="607">
      <c r="A607" s="87"/>
    </row>
    <row r="608">
      <c r="A608" s="87"/>
    </row>
    <row r="609">
      <c r="A609" s="87"/>
    </row>
    <row r="610">
      <c r="A610" s="87"/>
    </row>
    <row r="611">
      <c r="A611" s="87"/>
    </row>
    <row r="612">
      <c r="A612" s="87"/>
    </row>
    <row r="613">
      <c r="A613" s="87"/>
    </row>
    <row r="614">
      <c r="A614" s="87"/>
    </row>
    <row r="615">
      <c r="A615" s="87"/>
    </row>
    <row r="616">
      <c r="A616" s="87"/>
    </row>
    <row r="617">
      <c r="A617" s="87"/>
    </row>
    <row r="618">
      <c r="A618" s="87"/>
    </row>
    <row r="619">
      <c r="A619" s="87"/>
    </row>
    <row r="620">
      <c r="A620" s="87"/>
    </row>
    <row r="621">
      <c r="A621" s="87"/>
    </row>
    <row r="622">
      <c r="A622" s="87"/>
    </row>
    <row r="623">
      <c r="A623" s="87"/>
    </row>
    <row r="624">
      <c r="A624" s="87"/>
    </row>
    <row r="625">
      <c r="A625" s="87"/>
    </row>
    <row r="626">
      <c r="A626" s="87"/>
    </row>
    <row r="627">
      <c r="A627" s="87"/>
    </row>
    <row r="628">
      <c r="A628" s="87"/>
    </row>
    <row r="629">
      <c r="A629" s="87"/>
    </row>
    <row r="630">
      <c r="A630" s="87"/>
    </row>
    <row r="631">
      <c r="A631" s="87"/>
    </row>
    <row r="632">
      <c r="A632" s="87"/>
    </row>
    <row r="633">
      <c r="A633" s="87"/>
    </row>
    <row r="634">
      <c r="A634" s="87"/>
    </row>
    <row r="635">
      <c r="A635" s="87"/>
    </row>
    <row r="636">
      <c r="A636" s="87"/>
    </row>
    <row r="637">
      <c r="A637" s="87"/>
    </row>
    <row r="638">
      <c r="A638" s="87"/>
    </row>
    <row r="639">
      <c r="A639" s="87"/>
    </row>
    <row r="640">
      <c r="A640" s="87"/>
    </row>
    <row r="641">
      <c r="A641" s="87"/>
    </row>
    <row r="642">
      <c r="A642" s="87"/>
    </row>
    <row r="643">
      <c r="A643" s="87"/>
    </row>
    <row r="644">
      <c r="A644" s="87"/>
    </row>
    <row r="645">
      <c r="A645" s="87"/>
    </row>
    <row r="646">
      <c r="A646" s="87"/>
    </row>
    <row r="647">
      <c r="A647" s="87"/>
    </row>
    <row r="648">
      <c r="A648" s="87"/>
    </row>
    <row r="649">
      <c r="A649" s="87"/>
    </row>
    <row r="650">
      <c r="A650" s="87"/>
    </row>
    <row r="651">
      <c r="A651" s="87"/>
    </row>
    <row r="652">
      <c r="A652" s="87"/>
    </row>
    <row r="653">
      <c r="A653" s="87"/>
    </row>
    <row r="654">
      <c r="A654" s="87"/>
    </row>
    <row r="655">
      <c r="A655" s="87"/>
    </row>
    <row r="656">
      <c r="A656" s="87"/>
    </row>
    <row r="657">
      <c r="A657" s="87"/>
    </row>
    <row r="658">
      <c r="A658" s="87"/>
    </row>
    <row r="659">
      <c r="A659" s="87"/>
    </row>
    <row r="660">
      <c r="A660" s="87"/>
    </row>
    <row r="661">
      <c r="A661" s="87"/>
    </row>
    <row r="662">
      <c r="A662" s="87"/>
    </row>
    <row r="663">
      <c r="A663" s="87"/>
    </row>
    <row r="664">
      <c r="A664" s="87"/>
    </row>
    <row r="665">
      <c r="A665" s="87"/>
    </row>
    <row r="666">
      <c r="A666" s="87"/>
    </row>
    <row r="667">
      <c r="A667" s="87"/>
    </row>
    <row r="668">
      <c r="A668" s="87"/>
    </row>
    <row r="669">
      <c r="A669" s="87"/>
    </row>
    <row r="670">
      <c r="A670" s="87"/>
    </row>
    <row r="671">
      <c r="A671" s="87"/>
    </row>
    <row r="672">
      <c r="A672" s="87"/>
    </row>
    <row r="673">
      <c r="A673" s="87"/>
    </row>
    <row r="674">
      <c r="A674" s="87"/>
    </row>
    <row r="675">
      <c r="A675" s="87"/>
    </row>
    <row r="676">
      <c r="A676" s="87"/>
    </row>
    <row r="677">
      <c r="A677" s="87"/>
    </row>
    <row r="678">
      <c r="A678" s="87"/>
    </row>
    <row r="679">
      <c r="A679" s="87"/>
    </row>
    <row r="680">
      <c r="A680" s="87"/>
    </row>
    <row r="681">
      <c r="A681" s="87"/>
    </row>
    <row r="682">
      <c r="A682" s="87"/>
    </row>
    <row r="683">
      <c r="A683" s="87"/>
    </row>
    <row r="684">
      <c r="A684" s="87"/>
    </row>
    <row r="685">
      <c r="A685" s="87"/>
    </row>
    <row r="686">
      <c r="A686" s="87"/>
    </row>
    <row r="687">
      <c r="A687" s="87"/>
    </row>
    <row r="688">
      <c r="A688" s="87"/>
    </row>
    <row r="689">
      <c r="A689" s="87"/>
    </row>
    <row r="690">
      <c r="A690" s="87"/>
    </row>
    <row r="691">
      <c r="A691" s="87"/>
    </row>
    <row r="692">
      <c r="A692" s="87"/>
    </row>
    <row r="693">
      <c r="A693" s="87"/>
    </row>
    <row r="694">
      <c r="A694" s="87"/>
    </row>
    <row r="695">
      <c r="A695" s="87"/>
    </row>
    <row r="696">
      <c r="A696" s="87"/>
    </row>
    <row r="697">
      <c r="A697" s="87"/>
    </row>
    <row r="698">
      <c r="A698" s="87"/>
    </row>
    <row r="699">
      <c r="A699" s="87"/>
    </row>
    <row r="700">
      <c r="A700" s="87"/>
    </row>
    <row r="701">
      <c r="A701" s="87"/>
    </row>
    <row r="702">
      <c r="A702" s="87"/>
    </row>
    <row r="703">
      <c r="A703" s="87"/>
    </row>
    <row r="704">
      <c r="A704" s="87"/>
    </row>
    <row r="705">
      <c r="A705" s="87"/>
    </row>
    <row r="706">
      <c r="A706" s="87"/>
    </row>
    <row r="707">
      <c r="A707" s="87"/>
    </row>
    <row r="708">
      <c r="A708" s="87"/>
    </row>
    <row r="709">
      <c r="A709" s="87"/>
    </row>
    <row r="710">
      <c r="A710" s="87"/>
    </row>
    <row r="711">
      <c r="A711" s="87"/>
    </row>
    <row r="712">
      <c r="A712" s="87"/>
    </row>
    <row r="713">
      <c r="A713" s="87"/>
    </row>
    <row r="714">
      <c r="A714" s="87"/>
    </row>
    <row r="715">
      <c r="A715" s="87"/>
    </row>
    <row r="716">
      <c r="A716" s="87"/>
    </row>
    <row r="717">
      <c r="A717" s="87"/>
    </row>
    <row r="718">
      <c r="A718" s="87"/>
    </row>
    <row r="719">
      <c r="A719" s="87"/>
    </row>
    <row r="720">
      <c r="A720" s="87"/>
    </row>
    <row r="721">
      <c r="A721" s="87"/>
    </row>
    <row r="722">
      <c r="A722" s="87"/>
    </row>
    <row r="723">
      <c r="A723" s="87"/>
    </row>
    <row r="724">
      <c r="A724" s="87"/>
    </row>
    <row r="725">
      <c r="A725" s="87"/>
    </row>
    <row r="726">
      <c r="A726" s="87"/>
    </row>
    <row r="727">
      <c r="A727" s="87"/>
    </row>
    <row r="728">
      <c r="A728" s="87"/>
    </row>
    <row r="729">
      <c r="A729" s="87"/>
    </row>
    <row r="730">
      <c r="A730" s="87"/>
    </row>
    <row r="731">
      <c r="A731" s="87"/>
    </row>
    <row r="732">
      <c r="A732" s="87"/>
    </row>
    <row r="733">
      <c r="A733" s="87"/>
    </row>
    <row r="734">
      <c r="A734" s="87"/>
    </row>
    <row r="735">
      <c r="A735" s="87"/>
    </row>
    <row r="736">
      <c r="A736" s="87"/>
    </row>
    <row r="737">
      <c r="A737" s="87"/>
    </row>
    <row r="738">
      <c r="A738" s="87"/>
    </row>
    <row r="739">
      <c r="A739" s="87"/>
    </row>
    <row r="740">
      <c r="A740" s="87"/>
    </row>
    <row r="741">
      <c r="A741" s="87"/>
    </row>
    <row r="742">
      <c r="A742" s="87"/>
    </row>
    <row r="743">
      <c r="A743" s="87"/>
    </row>
    <row r="744">
      <c r="A744" s="87"/>
    </row>
    <row r="745">
      <c r="A745" s="87"/>
    </row>
    <row r="746">
      <c r="A746" s="87"/>
    </row>
    <row r="747">
      <c r="A747" s="87"/>
    </row>
    <row r="748">
      <c r="A748" s="87"/>
    </row>
    <row r="749">
      <c r="A749" s="87"/>
    </row>
    <row r="750">
      <c r="A750" s="87"/>
    </row>
    <row r="751">
      <c r="A751" s="87"/>
    </row>
    <row r="752">
      <c r="A752" s="87"/>
    </row>
    <row r="753">
      <c r="A753" s="87"/>
    </row>
    <row r="754">
      <c r="A754" s="87"/>
    </row>
    <row r="755">
      <c r="A755" s="87"/>
    </row>
    <row r="756">
      <c r="A756" s="87"/>
    </row>
    <row r="757">
      <c r="A757" s="87"/>
    </row>
    <row r="758">
      <c r="A758" s="87"/>
    </row>
    <row r="759">
      <c r="A759" s="87"/>
    </row>
    <row r="760">
      <c r="A760" s="87"/>
    </row>
    <row r="761">
      <c r="A761" s="87"/>
    </row>
    <row r="762">
      <c r="A762" s="87"/>
    </row>
    <row r="763">
      <c r="A763" s="87"/>
    </row>
    <row r="764">
      <c r="A764" s="87"/>
    </row>
    <row r="765">
      <c r="A765" s="87"/>
    </row>
    <row r="766">
      <c r="A766" s="87"/>
    </row>
    <row r="767">
      <c r="A767" s="87"/>
    </row>
    <row r="768">
      <c r="A768" s="87"/>
    </row>
    <row r="769">
      <c r="A769" s="87"/>
    </row>
    <row r="770">
      <c r="A770" s="87"/>
    </row>
    <row r="771">
      <c r="A771" s="87"/>
    </row>
    <row r="772">
      <c r="A772" s="87"/>
    </row>
    <row r="773">
      <c r="A773" s="87"/>
    </row>
    <row r="774">
      <c r="A774" s="87"/>
    </row>
    <row r="775">
      <c r="A775" s="87"/>
    </row>
    <row r="776">
      <c r="A776" s="87"/>
    </row>
    <row r="777">
      <c r="A777" s="87"/>
    </row>
    <row r="778">
      <c r="A778" s="87"/>
    </row>
    <row r="779">
      <c r="A779" s="87"/>
    </row>
    <row r="780">
      <c r="A780" s="87"/>
    </row>
    <row r="781">
      <c r="A781" s="87"/>
    </row>
    <row r="782">
      <c r="A782" s="87"/>
    </row>
    <row r="783">
      <c r="A783" s="87"/>
    </row>
    <row r="784">
      <c r="A784" s="87"/>
    </row>
    <row r="785">
      <c r="A785" s="87"/>
    </row>
    <row r="786">
      <c r="A786" s="87"/>
    </row>
    <row r="787">
      <c r="A787" s="87"/>
    </row>
    <row r="788">
      <c r="A788" s="87"/>
    </row>
    <row r="789">
      <c r="A789" s="87"/>
    </row>
    <row r="790">
      <c r="A790" s="87"/>
    </row>
    <row r="791">
      <c r="A791" s="87"/>
    </row>
    <row r="792">
      <c r="A792" s="87"/>
    </row>
    <row r="793">
      <c r="A793" s="87"/>
    </row>
    <row r="794">
      <c r="A794" s="87"/>
    </row>
    <row r="795">
      <c r="A795" s="87"/>
    </row>
    <row r="796">
      <c r="A796" s="87"/>
    </row>
    <row r="797">
      <c r="A797" s="87"/>
    </row>
    <row r="798">
      <c r="A798" s="87"/>
    </row>
    <row r="799">
      <c r="A799" s="87"/>
    </row>
    <row r="800">
      <c r="A800" s="87"/>
    </row>
    <row r="801">
      <c r="A801" s="87"/>
    </row>
    <row r="802">
      <c r="A802" s="87"/>
    </row>
    <row r="803">
      <c r="A803" s="87"/>
    </row>
    <row r="804">
      <c r="A804" s="87"/>
    </row>
    <row r="805">
      <c r="A805" s="87"/>
    </row>
    <row r="806">
      <c r="A806" s="87"/>
    </row>
    <row r="807">
      <c r="A807" s="87"/>
    </row>
    <row r="808">
      <c r="A808" s="87"/>
    </row>
    <row r="809">
      <c r="A809" s="87"/>
    </row>
    <row r="810">
      <c r="A810" s="87"/>
    </row>
    <row r="811">
      <c r="A811" s="87"/>
    </row>
    <row r="812">
      <c r="A812" s="87"/>
    </row>
    <row r="813">
      <c r="A813" s="87"/>
    </row>
    <row r="814">
      <c r="A814" s="87"/>
    </row>
    <row r="815">
      <c r="A815" s="87"/>
    </row>
    <row r="816">
      <c r="A816" s="87"/>
    </row>
    <row r="817">
      <c r="A817" s="87"/>
    </row>
    <row r="818">
      <c r="A818" s="87"/>
    </row>
    <row r="819">
      <c r="A819" s="87"/>
    </row>
    <row r="820">
      <c r="A820" s="87"/>
    </row>
    <row r="821">
      <c r="A821" s="87"/>
    </row>
    <row r="822">
      <c r="A822" s="87"/>
    </row>
    <row r="823">
      <c r="A823" s="87"/>
    </row>
    <row r="824">
      <c r="A824" s="87"/>
    </row>
    <row r="825">
      <c r="A825" s="87"/>
    </row>
    <row r="826">
      <c r="A826" s="87"/>
    </row>
    <row r="827">
      <c r="A827" s="87"/>
    </row>
    <row r="828">
      <c r="A828" s="87"/>
    </row>
    <row r="829">
      <c r="A829" s="87"/>
    </row>
    <row r="830">
      <c r="A830" s="87"/>
    </row>
    <row r="831">
      <c r="A831" s="87"/>
    </row>
    <row r="832">
      <c r="A832" s="87"/>
    </row>
    <row r="833">
      <c r="A833" s="87"/>
    </row>
    <row r="834">
      <c r="A834" s="87"/>
    </row>
    <row r="835">
      <c r="A835" s="87"/>
    </row>
    <row r="836">
      <c r="A836" s="87"/>
    </row>
    <row r="837">
      <c r="A837" s="87"/>
    </row>
    <row r="838">
      <c r="A838" s="87"/>
    </row>
    <row r="839">
      <c r="A839" s="87"/>
    </row>
    <row r="840">
      <c r="A840" s="87"/>
    </row>
    <row r="841">
      <c r="A841" s="87"/>
    </row>
    <row r="842">
      <c r="A842" s="87"/>
    </row>
    <row r="843">
      <c r="A843" s="87"/>
    </row>
    <row r="844">
      <c r="A844" s="87"/>
    </row>
    <row r="845">
      <c r="A845" s="87"/>
    </row>
    <row r="846">
      <c r="A846" s="87"/>
    </row>
    <row r="847">
      <c r="A847" s="87"/>
    </row>
    <row r="848">
      <c r="A848" s="87"/>
    </row>
    <row r="849">
      <c r="A849" s="87"/>
    </row>
    <row r="850">
      <c r="A850" s="87"/>
    </row>
    <row r="851">
      <c r="A851" s="87"/>
    </row>
    <row r="852">
      <c r="A852" s="87"/>
    </row>
    <row r="853">
      <c r="A853" s="87"/>
    </row>
    <row r="854">
      <c r="A854" s="87"/>
    </row>
    <row r="855">
      <c r="A855" s="87"/>
    </row>
    <row r="856">
      <c r="A856" s="87"/>
    </row>
    <row r="857">
      <c r="A857" s="87"/>
    </row>
    <row r="858">
      <c r="A858" s="87"/>
    </row>
    <row r="859">
      <c r="A859" s="87"/>
    </row>
    <row r="860">
      <c r="A860" s="87"/>
    </row>
    <row r="861">
      <c r="A861" s="87"/>
    </row>
    <row r="862">
      <c r="A862" s="87"/>
    </row>
    <row r="863">
      <c r="A863" s="87"/>
    </row>
    <row r="864">
      <c r="A864" s="87"/>
    </row>
    <row r="865">
      <c r="A865" s="87"/>
    </row>
    <row r="866">
      <c r="A866" s="87"/>
    </row>
    <row r="867">
      <c r="A867" s="87"/>
    </row>
    <row r="868">
      <c r="A868" s="87"/>
    </row>
    <row r="869">
      <c r="A869" s="87"/>
    </row>
    <row r="870">
      <c r="A870" s="87"/>
    </row>
    <row r="871">
      <c r="A871" s="87"/>
    </row>
    <row r="872">
      <c r="A872" s="87"/>
    </row>
    <row r="873">
      <c r="A873" s="87"/>
    </row>
    <row r="874">
      <c r="A874" s="87"/>
    </row>
    <row r="875">
      <c r="A875" s="87"/>
    </row>
    <row r="876">
      <c r="A876" s="87"/>
    </row>
    <row r="877">
      <c r="A877" s="87"/>
    </row>
    <row r="878">
      <c r="A878" s="87"/>
    </row>
    <row r="879">
      <c r="A879" s="87"/>
    </row>
    <row r="880">
      <c r="A880" s="87"/>
    </row>
    <row r="881">
      <c r="A881" s="87"/>
    </row>
    <row r="882">
      <c r="A882" s="87"/>
    </row>
    <row r="883">
      <c r="A883" s="87"/>
    </row>
    <row r="884">
      <c r="A884" s="87"/>
    </row>
    <row r="885">
      <c r="A885" s="87"/>
    </row>
    <row r="886">
      <c r="A886" s="87"/>
    </row>
    <row r="887">
      <c r="A887" s="87"/>
    </row>
    <row r="888">
      <c r="A888" s="87"/>
    </row>
    <row r="889">
      <c r="A889" s="87"/>
    </row>
    <row r="890">
      <c r="A890" s="87"/>
    </row>
    <row r="891">
      <c r="A891" s="87"/>
    </row>
    <row r="892">
      <c r="A892" s="87"/>
    </row>
    <row r="893">
      <c r="A893" s="87"/>
    </row>
    <row r="894">
      <c r="A894" s="87"/>
    </row>
    <row r="895">
      <c r="A895" s="87"/>
    </row>
    <row r="896">
      <c r="A896" s="87"/>
    </row>
    <row r="897">
      <c r="A897" s="87"/>
    </row>
    <row r="898">
      <c r="A898" s="87"/>
    </row>
    <row r="899">
      <c r="A899" s="87"/>
    </row>
    <row r="900">
      <c r="A900" s="87"/>
    </row>
    <row r="901">
      <c r="A901" s="87"/>
    </row>
    <row r="902">
      <c r="A902" s="87"/>
    </row>
    <row r="903">
      <c r="A903" s="87"/>
    </row>
    <row r="904">
      <c r="A904" s="87"/>
    </row>
    <row r="905">
      <c r="A905" s="87"/>
    </row>
    <row r="906">
      <c r="A906" s="87"/>
    </row>
    <row r="907">
      <c r="A907" s="87"/>
    </row>
    <row r="908">
      <c r="A908" s="87"/>
    </row>
    <row r="909">
      <c r="A909" s="87"/>
    </row>
    <row r="910">
      <c r="A910" s="87"/>
    </row>
    <row r="911">
      <c r="A911" s="87"/>
    </row>
    <row r="912">
      <c r="A912" s="87"/>
    </row>
    <row r="913">
      <c r="A913" s="87"/>
    </row>
    <row r="914">
      <c r="A914" s="87"/>
    </row>
    <row r="915">
      <c r="A915" s="87"/>
    </row>
    <row r="916">
      <c r="A916" s="87"/>
    </row>
    <row r="917">
      <c r="A917" s="87"/>
    </row>
    <row r="918">
      <c r="A918" s="87"/>
    </row>
    <row r="919">
      <c r="A919" s="87"/>
    </row>
    <row r="920">
      <c r="A920" s="87"/>
    </row>
    <row r="921">
      <c r="A921" s="87"/>
    </row>
    <row r="922">
      <c r="A922" s="87"/>
    </row>
    <row r="923">
      <c r="A923" s="87"/>
    </row>
    <row r="924">
      <c r="A924" s="87"/>
    </row>
    <row r="925">
      <c r="A925" s="87"/>
    </row>
    <row r="926">
      <c r="A926" s="87"/>
    </row>
    <row r="927">
      <c r="A927" s="87"/>
    </row>
    <row r="928">
      <c r="A928" s="87"/>
    </row>
    <row r="929">
      <c r="A929" s="87"/>
    </row>
    <row r="930">
      <c r="A930" s="87"/>
    </row>
    <row r="931">
      <c r="A931" s="87"/>
    </row>
    <row r="932">
      <c r="A932" s="87"/>
    </row>
    <row r="933">
      <c r="A933" s="87"/>
    </row>
    <row r="934">
      <c r="A934" s="87"/>
    </row>
    <row r="935">
      <c r="A935" s="87"/>
    </row>
    <row r="936">
      <c r="A936" s="87"/>
    </row>
    <row r="937">
      <c r="A937" s="87"/>
    </row>
    <row r="938">
      <c r="A938" s="87"/>
    </row>
    <row r="939">
      <c r="A939" s="87"/>
    </row>
    <row r="940">
      <c r="A940" s="87"/>
    </row>
    <row r="941">
      <c r="A941" s="87"/>
    </row>
    <row r="942">
      <c r="A942" s="87"/>
    </row>
    <row r="943">
      <c r="A943" s="87"/>
    </row>
    <row r="944">
      <c r="A944" s="87"/>
    </row>
    <row r="945">
      <c r="A945" s="87"/>
    </row>
    <row r="946">
      <c r="A946" s="87"/>
    </row>
    <row r="947">
      <c r="A947" s="87"/>
    </row>
    <row r="948">
      <c r="A948" s="87"/>
    </row>
    <row r="949">
      <c r="A949" s="87"/>
    </row>
    <row r="950">
      <c r="A950" s="87"/>
    </row>
    <row r="951">
      <c r="A951" s="87"/>
    </row>
    <row r="952">
      <c r="A952" s="87"/>
    </row>
    <row r="953">
      <c r="A953" s="87"/>
    </row>
    <row r="954">
      <c r="A954" s="87"/>
    </row>
    <row r="955">
      <c r="A955" s="87"/>
    </row>
    <row r="956">
      <c r="A956" s="87"/>
    </row>
    <row r="957">
      <c r="A957" s="87"/>
    </row>
    <row r="958">
      <c r="A958" s="87"/>
    </row>
    <row r="959">
      <c r="A959" s="87"/>
    </row>
    <row r="960">
      <c r="A960" s="87"/>
    </row>
    <row r="961">
      <c r="A961" s="87"/>
    </row>
    <row r="962">
      <c r="A962" s="87"/>
    </row>
    <row r="963">
      <c r="A963" s="87"/>
    </row>
    <row r="964">
      <c r="A964" s="87"/>
    </row>
    <row r="965">
      <c r="A965" s="87"/>
    </row>
    <row r="966">
      <c r="A966" s="87"/>
    </row>
    <row r="967">
      <c r="A967" s="87"/>
    </row>
    <row r="968">
      <c r="A968" s="87"/>
    </row>
    <row r="969">
      <c r="A969" s="87"/>
    </row>
    <row r="970">
      <c r="A970" s="87"/>
    </row>
    <row r="971">
      <c r="A971" s="87"/>
    </row>
    <row r="972">
      <c r="A972" s="87"/>
    </row>
    <row r="973">
      <c r="A973" s="87"/>
    </row>
    <row r="974">
      <c r="A974" s="87"/>
    </row>
    <row r="975">
      <c r="A975" s="87"/>
    </row>
    <row r="976">
      <c r="A976" s="87"/>
    </row>
    <row r="977">
      <c r="A977" s="87"/>
    </row>
    <row r="978">
      <c r="A978" s="87"/>
    </row>
    <row r="979">
      <c r="A979" s="87"/>
    </row>
    <row r="980">
      <c r="A980" s="87"/>
    </row>
    <row r="981">
      <c r="A981" s="87"/>
    </row>
    <row r="982">
      <c r="A982" s="87"/>
    </row>
    <row r="983">
      <c r="A983" s="87"/>
    </row>
    <row r="984">
      <c r="A984" s="87"/>
    </row>
    <row r="985">
      <c r="A985" s="87"/>
    </row>
    <row r="986">
      <c r="A986" s="87"/>
    </row>
    <row r="987">
      <c r="A987" s="87"/>
    </row>
    <row r="988">
      <c r="A988" s="87"/>
    </row>
    <row r="989">
      <c r="A989" s="87"/>
    </row>
    <row r="990">
      <c r="A990" s="87"/>
    </row>
    <row r="991">
      <c r="A991" s="87"/>
    </row>
    <row r="992">
      <c r="A992" s="87"/>
    </row>
    <row r="993">
      <c r="A993" s="87"/>
    </row>
    <row r="994">
      <c r="A994" s="87"/>
    </row>
    <row r="995">
      <c r="A995" s="87"/>
    </row>
    <row r="996">
      <c r="A996" s="87"/>
    </row>
    <row r="997">
      <c r="A997" s="87"/>
    </row>
    <row r="998">
      <c r="A998" s="87"/>
    </row>
    <row r="999">
      <c r="A999" s="87"/>
    </row>
    <row r="1000">
      <c r="A1000" s="87"/>
    </row>
  </sheetData>
  <autoFilter ref="$A$1:$H$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15.13"/>
    <col customWidth="1" min="4" max="4" width="17.63"/>
    <col customWidth="1" min="5" max="5" width="12.63"/>
    <col customWidth="1" min="7" max="7" width="17.63"/>
    <col customWidth="1" min="10" max="10" width="20.13"/>
    <col customWidth="1" min="13" max="13" width="20.13"/>
  </cols>
  <sheetData>
    <row r="1">
      <c r="A1" s="89" t="s">
        <v>166</v>
      </c>
      <c r="B1" s="90"/>
      <c r="C1" s="90"/>
      <c r="D1" s="90"/>
      <c r="E1" s="90"/>
      <c r="F1" s="91" t="s">
        <v>167</v>
      </c>
      <c r="G1" s="92">
        <v>46099.40848726852</v>
      </c>
    </row>
    <row r="3">
      <c r="A3" s="79" t="s">
        <v>168</v>
      </c>
      <c r="B3" s="79" t="s">
        <v>109</v>
      </c>
      <c r="D3" s="79" t="s">
        <v>91</v>
      </c>
      <c r="E3" s="79" t="s">
        <v>169</v>
      </c>
    </row>
    <row r="4">
      <c r="A4" s="80" t="s">
        <v>170</v>
      </c>
      <c r="B4" s="83">
        <v>6.0</v>
      </c>
      <c r="D4" s="80" t="s">
        <v>171</v>
      </c>
      <c r="E4" s="83">
        <v>6.0</v>
      </c>
    </row>
    <row r="5">
      <c r="A5" s="80" t="s">
        <v>172</v>
      </c>
      <c r="B5" s="83">
        <v>5.0</v>
      </c>
      <c r="D5" s="80" t="s">
        <v>173</v>
      </c>
      <c r="E5" s="83">
        <v>3.0</v>
      </c>
    </row>
    <row r="6">
      <c r="A6" s="80" t="s">
        <v>174</v>
      </c>
      <c r="B6" s="83">
        <v>3.0</v>
      </c>
      <c r="D6" s="80" t="s">
        <v>175</v>
      </c>
      <c r="E6" s="83">
        <v>1.0</v>
      </c>
    </row>
    <row r="7">
      <c r="A7" s="80" t="s">
        <v>176</v>
      </c>
      <c r="B7" s="83">
        <v>1.0</v>
      </c>
      <c r="D7" s="80" t="s">
        <v>177</v>
      </c>
      <c r="E7" s="83">
        <v>2.0</v>
      </c>
    </row>
    <row r="8">
      <c r="A8" s="80" t="s">
        <v>178</v>
      </c>
      <c r="B8" s="83">
        <v>2.0</v>
      </c>
    </row>
    <row r="9">
      <c r="A9" s="80" t="s">
        <v>179</v>
      </c>
      <c r="B9" s="83">
        <v>4.0</v>
      </c>
    </row>
    <row r="12">
      <c r="A12" s="79" t="s">
        <v>180</v>
      </c>
      <c r="B12" s="79" t="s">
        <v>181</v>
      </c>
      <c r="D12" s="79" t="s">
        <v>7</v>
      </c>
      <c r="E12" s="79" t="s">
        <v>181</v>
      </c>
      <c r="G12" s="79" t="s">
        <v>134</v>
      </c>
      <c r="H12" s="79" t="s">
        <v>169</v>
      </c>
      <c r="J12" s="79" t="s">
        <v>13</v>
      </c>
      <c r="K12" s="79" t="s">
        <v>169</v>
      </c>
      <c r="M12" s="79" t="s">
        <v>17</v>
      </c>
      <c r="N12" s="79" t="s">
        <v>169</v>
      </c>
    </row>
    <row r="13">
      <c r="A13" s="93">
        <v>46082.0</v>
      </c>
      <c r="B13" s="83">
        <v>2.0</v>
      </c>
      <c r="D13" s="80" t="s">
        <v>29</v>
      </c>
      <c r="E13" s="83">
        <v>1.0</v>
      </c>
      <c r="G13" s="80" t="s">
        <v>20</v>
      </c>
      <c r="H13" s="83">
        <v>2.0</v>
      </c>
      <c r="J13" s="80" t="s">
        <v>45</v>
      </c>
      <c r="K13" s="83">
        <v>2.0</v>
      </c>
      <c r="M13" s="80" t="s">
        <v>40</v>
      </c>
      <c r="N13" s="83">
        <v>1.0</v>
      </c>
    </row>
    <row r="14">
      <c r="D14" s="80" t="s">
        <v>36</v>
      </c>
      <c r="E14" s="83">
        <v>1.0</v>
      </c>
      <c r="J14" s="80" t="s">
        <v>34</v>
      </c>
      <c r="K14" s="83">
        <v>1.0</v>
      </c>
    </row>
    <row r="26">
      <c r="A26" s="94" t="s">
        <v>182</v>
      </c>
    </row>
    <row r="27">
      <c r="A27" s="80" t="s">
        <v>183</v>
      </c>
      <c r="D27" s="80" t="s">
        <v>184</v>
      </c>
    </row>
    <row r="28">
      <c r="B28" s="95" t="s">
        <v>37</v>
      </c>
    </row>
    <row r="30">
      <c r="A30" s="94" t="s">
        <v>171</v>
      </c>
      <c r="N30" s="94" t="s">
        <v>173</v>
      </c>
      <c r="X30" s="94" t="s">
        <v>175</v>
      </c>
      <c r="AH30" s="94" t="s">
        <v>177</v>
      </c>
      <c r="AI30" s="96"/>
      <c r="AJ30" s="96"/>
      <c r="AK30" s="96"/>
      <c r="AL30" s="96"/>
      <c r="AM30" s="96"/>
      <c r="AN30" s="96"/>
      <c r="AO30" s="96"/>
      <c r="AP30" s="96"/>
      <c r="AQ30" s="96"/>
      <c r="AR30" s="96"/>
    </row>
    <row r="31">
      <c r="A31" s="79" t="s">
        <v>135</v>
      </c>
      <c r="B31" s="79" t="s">
        <v>136</v>
      </c>
      <c r="C31" s="79" t="s">
        <v>6</v>
      </c>
      <c r="D31" s="79" t="s">
        <v>7</v>
      </c>
      <c r="E31" s="79" t="s">
        <v>8</v>
      </c>
      <c r="F31" s="79" t="s">
        <v>137</v>
      </c>
      <c r="G31" s="79" t="s">
        <v>138</v>
      </c>
      <c r="H31" s="79" t="s">
        <v>10</v>
      </c>
      <c r="I31" s="79" t="s">
        <v>11</v>
      </c>
      <c r="J31" s="79" t="s">
        <v>139</v>
      </c>
      <c r="K31" s="79" t="s">
        <v>140</v>
      </c>
      <c r="L31" s="79" t="s">
        <v>141</v>
      </c>
      <c r="N31" s="79" t="s">
        <v>135</v>
      </c>
      <c r="O31" s="79" t="s">
        <v>136</v>
      </c>
      <c r="P31" s="79" t="s">
        <v>12</v>
      </c>
      <c r="Q31" s="79" t="s">
        <v>13</v>
      </c>
      <c r="R31" s="79" t="s">
        <v>14</v>
      </c>
      <c r="S31" s="79" t="s">
        <v>15</v>
      </c>
      <c r="T31" s="79" t="s">
        <v>139</v>
      </c>
      <c r="U31" s="79" t="s">
        <v>140</v>
      </c>
      <c r="X31" s="79" t="s">
        <v>135</v>
      </c>
      <c r="Y31" s="79" t="s">
        <v>136</v>
      </c>
      <c r="Z31" s="79" t="s">
        <v>16</v>
      </c>
      <c r="AA31" s="79" t="s">
        <v>17</v>
      </c>
      <c r="AB31" s="79" t="s">
        <v>18</v>
      </c>
      <c r="AC31" s="79" t="s">
        <v>19</v>
      </c>
      <c r="AD31" s="79" t="s">
        <v>139</v>
      </c>
      <c r="AE31" s="79" t="s">
        <v>140</v>
      </c>
      <c r="AF31" s="96"/>
      <c r="AG31" s="96"/>
      <c r="AH31" s="79" t="s">
        <v>148</v>
      </c>
      <c r="AI31" s="79" t="s">
        <v>135</v>
      </c>
      <c r="AJ31" s="79" t="s">
        <v>136</v>
      </c>
      <c r="AK31" s="79" t="s">
        <v>134</v>
      </c>
      <c r="AL31" s="79" t="s">
        <v>149</v>
      </c>
      <c r="AM31" s="79" t="s">
        <v>150</v>
      </c>
      <c r="AN31" s="79" t="s">
        <v>151</v>
      </c>
      <c r="AO31" s="79" t="s">
        <v>7</v>
      </c>
      <c r="AP31" s="79" t="s">
        <v>8</v>
      </c>
      <c r="AQ31" s="79" t="s">
        <v>139</v>
      </c>
      <c r="AR31" s="79" t="s">
        <v>140</v>
      </c>
    </row>
    <row r="32">
      <c r="A32" s="97" t="str">
        <f>IFERROR(__xludf.DUMMYFUNCTION("IF($B$28="""","""",IFERROR(FILTER(base_records!A2:L1000,base_records!E2:E1000=$B$28),{""조회 결과 없음"","""","""","""","""","""","""","""","""","""","""",""""}))"),"20260317_유훈철_811111_4")</f>
        <v>20260317_유훈철_811111_4</v>
      </c>
      <c r="B32" s="97">
        <f>IFERROR(__xludf.DUMMYFUNCTION("""COMPUTED_VALUE"""),4.0)</f>
        <v>4</v>
      </c>
      <c r="C32" s="97">
        <f>IFERROR(__xludf.DUMMYFUNCTION("""COMPUTED_VALUE"""),46098.0)</f>
        <v>46098</v>
      </c>
      <c r="D32" s="97" t="str">
        <f>IFERROR(__xludf.DUMMYFUNCTION("""COMPUTED_VALUE"""),"안영호")</f>
        <v>안영호</v>
      </c>
      <c r="E32" s="97" t="str">
        <f>IFERROR(__xludf.DUMMYFUNCTION("""COMPUTED_VALUE"""),"유훈철")</f>
        <v>유훈철</v>
      </c>
      <c r="F32" s="97">
        <f>IFERROR(__xludf.DUMMYFUNCTION("""COMPUTED_VALUE"""),811111.0)</f>
        <v>811111</v>
      </c>
      <c r="G32" s="97">
        <f>IFERROR(__xludf.DUMMYFUNCTION("""COMPUTED_VALUE"""),811111.0)</f>
        <v>811111</v>
      </c>
      <c r="H32" s="97" t="str">
        <f>IFERROR(__xludf.DUMMYFUNCTION("""COMPUTED_VALUE"""),"남")</f>
        <v>남</v>
      </c>
      <c r="I32" s="97" t="str">
        <f>IFERROR(__xludf.DUMMYFUNCTION("""COMPUTED_VALUE"""),"알콜")</f>
        <v>알콜</v>
      </c>
      <c r="J32" s="97">
        <f>IFERROR(__xludf.DUMMYFUNCTION("""COMPUTED_VALUE"""),46099.4083687963)</f>
        <v>46099.40837</v>
      </c>
      <c r="K32" s="97">
        <f>IFERROR(__xludf.DUMMYFUNCTION("""COMPUTED_VALUE"""),46099.4083687963)</f>
        <v>46099.40837</v>
      </c>
      <c r="L32" s="97" t="b">
        <f>IFERROR(__xludf.DUMMYFUNCTION("""COMPUTED_VALUE"""),TRUE)</f>
        <v>1</v>
      </c>
      <c r="N32" s="97" t="str">
        <f>IFERROR(__xludf.DUMMYFUNCTION("IF($B$28="""","""",IFERROR(FILTER(hospital_records!A2:H1000,ISNUMBER(MATCH(hospital_records!A2:A1000,FILTER(base_records!A2:A1000,base_records!E2:E1000=$B$28),0))),{""조회 결과 없음"","""","""","""","""","""","""",""""}))"),"조회 결과 없음")</f>
        <v>조회 결과 없음</v>
      </c>
      <c r="O32" s="97" t="str">
        <f>IFERROR(__xludf.DUMMYFUNCTION("""COMPUTED_VALUE"""),"")</f>
        <v/>
      </c>
      <c r="P32" s="97" t="str">
        <f>IFERROR(__xludf.DUMMYFUNCTION("""COMPUTED_VALUE"""),"")</f>
        <v/>
      </c>
      <c r="Q32" s="97" t="str">
        <f>IFERROR(__xludf.DUMMYFUNCTION("""COMPUTED_VALUE"""),"")</f>
        <v/>
      </c>
      <c r="R32" s="97" t="str">
        <f>IFERROR(__xludf.DUMMYFUNCTION("""COMPUTED_VALUE"""),"")</f>
        <v/>
      </c>
      <c r="S32" s="97" t="str">
        <f>IFERROR(__xludf.DUMMYFUNCTION("""COMPUTED_VALUE"""),"")</f>
        <v/>
      </c>
      <c r="T32" s="97" t="str">
        <f>IFERROR(__xludf.DUMMYFUNCTION("""COMPUTED_VALUE"""),"")</f>
        <v/>
      </c>
      <c r="U32" s="97" t="str">
        <f>IFERROR(__xludf.DUMMYFUNCTION("""COMPUTED_VALUE"""),"")</f>
        <v/>
      </c>
      <c r="X32" s="97" t="str">
        <f>IFERROR(__xludf.DUMMYFUNCTION("IF($B$28="""","""",IFERROR(FILTER(facility_records!A2:H1000,ISNUMBER(MATCH(facility_records!A2:A1000,FILTER(base_records!A2:A1000,base_records!E2:E1000=$B$28),0))),{""조회 결과 없음"","""","""","""","""","""","""",""""}))"),"20260317_유훈철_811111_4")</f>
        <v>20260317_유훈철_811111_4</v>
      </c>
      <c r="Y32" s="97">
        <f>IFERROR(__xludf.DUMMYFUNCTION("""COMPUTED_VALUE"""),4.0)</f>
        <v>4</v>
      </c>
      <c r="Z32" s="97" t="str">
        <f>IFERROR(__xludf.DUMMYFUNCTION("""COMPUTED_VALUE"""),"재활시설")</f>
        <v>재활시설</v>
      </c>
      <c r="AA32" s="97" t="str">
        <f>IFERROR(__xludf.DUMMYFUNCTION("""COMPUTED_VALUE"""),"비전트레이닝센터")</f>
        <v>비전트레이닝센터</v>
      </c>
      <c r="AB32" s="97" t="str">
        <f>IFERROR(__xludf.DUMMYFUNCTION("""COMPUTED_VALUE"""),"입소")</f>
        <v>입소</v>
      </c>
      <c r="AC32" s="97"/>
      <c r="AD32" s="97">
        <f>IFERROR(__xludf.DUMMYFUNCTION("""COMPUTED_VALUE"""),46099.4083687963)</f>
        <v>46099.40837</v>
      </c>
      <c r="AE32" s="97">
        <f>IFERROR(__xludf.DUMMYFUNCTION("""COMPUTED_VALUE"""),46099.4083687963)</f>
        <v>46099.40837</v>
      </c>
      <c r="AH32" s="97" t="str">
        <f>IFERROR(__xludf.DUMMYFUNCTION("IF($B$28="""","""",IFERROR(FILTER(service_records!A2:K1000,service_records!I2:I1000=$B$28),{""조회 결과 없음"","""","""","""","""","""","""","""","""","""",""""}))"),"20260317_유훈철_811111_4_주거지원_01")</f>
        <v>20260317_유훈철_811111_4_주거지원_01</v>
      </c>
      <c r="AI32" s="97" t="str">
        <f>IFERROR(__xludf.DUMMYFUNCTION("""COMPUTED_VALUE"""),"20260317_유훈철_811111_4")</f>
        <v>20260317_유훈철_811111_4</v>
      </c>
      <c r="AJ32" s="97">
        <f>IFERROR(__xludf.DUMMYFUNCTION("""COMPUTED_VALUE"""),4.0)</f>
        <v>4</v>
      </c>
      <c r="AK32" s="97" t="str">
        <f>IFERROR(__xludf.DUMMYFUNCTION("""COMPUTED_VALUE"""),"주거지원")</f>
        <v>주거지원</v>
      </c>
      <c r="AL32" s="97"/>
      <c r="AM32" s="97"/>
      <c r="AN32" s="97">
        <f>IFERROR(__xludf.DUMMYFUNCTION("""COMPUTED_VALUE"""),46098.0)</f>
        <v>46098</v>
      </c>
      <c r="AO32" s="97" t="str">
        <f>IFERROR(__xludf.DUMMYFUNCTION("""COMPUTED_VALUE"""),"안영호")</f>
        <v>안영호</v>
      </c>
      <c r="AP32" s="97" t="str">
        <f>IFERROR(__xludf.DUMMYFUNCTION("""COMPUTED_VALUE"""),"유훈철")</f>
        <v>유훈철</v>
      </c>
      <c r="AQ32" s="97">
        <f>IFERROR(__xludf.DUMMYFUNCTION("""COMPUTED_VALUE"""),46099.4083687963)</f>
        <v>46099.40837</v>
      </c>
      <c r="AR32" s="97">
        <f>IFERROR(__xludf.DUMMYFUNCTION("""COMPUTED_VALUE"""),46099.4083687963)</f>
        <v>46099.40837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8" t="s">
        <v>180</v>
      </c>
      <c r="B1" s="98" t="s">
        <v>185</v>
      </c>
      <c r="C1" s="98" t="s">
        <v>186</v>
      </c>
      <c r="D1" s="98" t="s">
        <v>187</v>
      </c>
      <c r="E1" s="98" t="s">
        <v>25</v>
      </c>
      <c r="F1" s="98" t="s">
        <v>65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99">
        <v>1.0</v>
      </c>
      <c r="B2" s="68">
        <f t="shared" ref="B2:B8" si="1">COUNTIFS($M$17:$M$149,A2,$E$17:$E$149,"1")</f>
        <v>5</v>
      </c>
      <c r="C2" s="68">
        <f t="shared" ref="C2:C8" si="2">COUNTIFS($M$17:$M$149,A2,$F$17:$F$149,"1")</f>
        <v>5</v>
      </c>
      <c r="D2" s="68">
        <f t="shared" ref="D2:D8" si="3">COUNTIFS($M$17:$M$149,A2,$G$17:$G$149,"1")</f>
        <v>16</v>
      </c>
      <c r="E2" s="68">
        <f t="shared" ref="E2:E8" si="4">COUNTIFS($M$17:$M$149,A2,$H$17:$H$149,"1")</f>
        <v>11</v>
      </c>
      <c r="F2" s="68">
        <f t="shared" ref="F2:F8" si="5">COUNTIFS($M$17:$M$149,A2,$I$17:$I$149,"1")</f>
        <v>0</v>
      </c>
      <c r="G2" s="60">
        <f t="shared" ref="G2:G13" si="6">SUM(B2:F2)</f>
        <v>37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99">
        <v>2.0</v>
      </c>
      <c r="B3" s="68">
        <f t="shared" si="1"/>
        <v>2</v>
      </c>
      <c r="C3" s="68">
        <f t="shared" si="2"/>
        <v>3</v>
      </c>
      <c r="D3" s="68">
        <f t="shared" si="3"/>
        <v>10</v>
      </c>
      <c r="E3" s="68">
        <f t="shared" si="4"/>
        <v>7</v>
      </c>
      <c r="F3" s="68">
        <f t="shared" si="5"/>
        <v>0</v>
      </c>
      <c r="G3" s="60">
        <f t="shared" si="6"/>
        <v>22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99">
        <v>3.0</v>
      </c>
      <c r="B4" s="68">
        <f t="shared" si="1"/>
        <v>0</v>
      </c>
      <c r="C4" s="68">
        <f t="shared" si="2"/>
        <v>2</v>
      </c>
      <c r="D4" s="68">
        <f t="shared" si="3"/>
        <v>4</v>
      </c>
      <c r="E4" s="68">
        <f t="shared" si="4"/>
        <v>4</v>
      </c>
      <c r="F4" s="68">
        <f t="shared" si="5"/>
        <v>0</v>
      </c>
      <c r="G4" s="60">
        <f t="shared" si="6"/>
        <v>10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99">
        <v>4.0</v>
      </c>
      <c r="B5" s="68">
        <f t="shared" si="1"/>
        <v>0</v>
      </c>
      <c r="C5" s="68">
        <f t="shared" si="2"/>
        <v>0</v>
      </c>
      <c r="D5" s="68">
        <f t="shared" si="3"/>
        <v>0</v>
      </c>
      <c r="E5" s="68">
        <f t="shared" si="4"/>
        <v>0</v>
      </c>
      <c r="F5" s="68">
        <f t="shared" si="5"/>
        <v>0</v>
      </c>
      <c r="G5" s="60">
        <f t="shared" si="6"/>
        <v>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>
      <c r="A6" s="99">
        <v>5.0</v>
      </c>
      <c r="B6" s="68">
        <f t="shared" si="1"/>
        <v>0</v>
      </c>
      <c r="C6" s="68">
        <f t="shared" si="2"/>
        <v>0</v>
      </c>
      <c r="D6" s="68">
        <f t="shared" si="3"/>
        <v>0</v>
      </c>
      <c r="E6" s="68">
        <f t="shared" si="4"/>
        <v>0</v>
      </c>
      <c r="F6" s="68">
        <f t="shared" si="5"/>
        <v>0</v>
      </c>
      <c r="G6" s="60">
        <f t="shared" si="6"/>
        <v>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>
      <c r="A7" s="99">
        <v>6.0</v>
      </c>
      <c r="B7" s="68">
        <f t="shared" si="1"/>
        <v>0</v>
      </c>
      <c r="C7" s="68">
        <f t="shared" si="2"/>
        <v>0</v>
      </c>
      <c r="D7" s="68">
        <f t="shared" si="3"/>
        <v>0</v>
      </c>
      <c r="E7" s="68">
        <f t="shared" si="4"/>
        <v>0</v>
      </c>
      <c r="F7" s="68">
        <f t="shared" si="5"/>
        <v>0</v>
      </c>
      <c r="G7" s="60">
        <f t="shared" si="6"/>
        <v>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>
      <c r="A8" s="99">
        <v>7.0</v>
      </c>
      <c r="B8" s="68">
        <f t="shared" si="1"/>
        <v>0</v>
      </c>
      <c r="C8" s="68">
        <f t="shared" si="2"/>
        <v>0</v>
      </c>
      <c r="D8" s="68">
        <f t="shared" si="3"/>
        <v>0</v>
      </c>
      <c r="E8" s="68">
        <f t="shared" si="4"/>
        <v>0</v>
      </c>
      <c r="F8" s="68">
        <f t="shared" si="5"/>
        <v>0</v>
      </c>
      <c r="G8" s="60">
        <f t="shared" si="6"/>
        <v>0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>
      <c r="A9" s="99">
        <v>8.0</v>
      </c>
      <c r="B9" s="68">
        <f t="shared" ref="B9:B13" si="7">COUNTIFS($M$17:$M$200,A9,$E$17:$E$200,"1")</f>
        <v>0</v>
      </c>
      <c r="C9" s="68">
        <f t="shared" ref="C9:C13" si="8">COUNTIFS($M$17:$M$200,A9,$F$17:$F$200,"1")</f>
        <v>0</v>
      </c>
      <c r="D9" s="68">
        <f t="shared" ref="D9:D13" si="9">COUNTIFS($M$17:$M$200,A9,$G$17:$G$200,"1")</f>
        <v>0</v>
      </c>
      <c r="E9" s="68">
        <f t="shared" ref="E9:E13" si="10">COUNTIFS($M$17:$M$200,A9,$H$17:$H$200,"1")</f>
        <v>0</v>
      </c>
      <c r="F9" s="68">
        <f t="shared" ref="F9:F13" si="11">COUNTIFS($M$17:$M$200,A9,$I$17:$I$200,"1")</f>
        <v>0</v>
      </c>
      <c r="G9" s="60">
        <f t="shared" si="6"/>
        <v>0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>
      <c r="A10" s="99">
        <v>9.0</v>
      </c>
      <c r="B10" s="68">
        <f t="shared" si="7"/>
        <v>0</v>
      </c>
      <c r="C10" s="68">
        <f t="shared" si="8"/>
        <v>0</v>
      </c>
      <c r="D10" s="68">
        <f t="shared" si="9"/>
        <v>0</v>
      </c>
      <c r="E10" s="68">
        <f t="shared" si="10"/>
        <v>0</v>
      </c>
      <c r="F10" s="68">
        <f t="shared" si="11"/>
        <v>0</v>
      </c>
      <c r="G10" s="60">
        <f t="shared" si="6"/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>
      <c r="A11" s="99">
        <v>10.0</v>
      </c>
      <c r="B11" s="68">
        <f t="shared" si="7"/>
        <v>0</v>
      </c>
      <c r="C11" s="68">
        <f t="shared" si="8"/>
        <v>0</v>
      </c>
      <c r="D11" s="68">
        <f t="shared" si="9"/>
        <v>0</v>
      </c>
      <c r="E11" s="68">
        <f t="shared" si="10"/>
        <v>0</v>
      </c>
      <c r="F11" s="68">
        <f t="shared" si="11"/>
        <v>0</v>
      </c>
      <c r="G11" s="60">
        <f t="shared" si="6"/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99">
        <v>11.0</v>
      </c>
      <c r="B12" s="68">
        <f t="shared" si="7"/>
        <v>0</v>
      </c>
      <c r="C12" s="68">
        <f t="shared" si="8"/>
        <v>0</v>
      </c>
      <c r="D12" s="68">
        <f t="shared" si="9"/>
        <v>0</v>
      </c>
      <c r="E12" s="68">
        <f t="shared" si="10"/>
        <v>0</v>
      </c>
      <c r="F12" s="68">
        <f t="shared" si="11"/>
        <v>0</v>
      </c>
      <c r="G12" s="60">
        <f t="shared" si="6"/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>
      <c r="A13" s="99">
        <v>12.0</v>
      </c>
      <c r="B13" s="68">
        <f t="shared" si="7"/>
        <v>0</v>
      </c>
      <c r="C13" s="68">
        <f t="shared" si="8"/>
        <v>0</v>
      </c>
      <c r="D13" s="68">
        <f t="shared" si="9"/>
        <v>0</v>
      </c>
      <c r="E13" s="68">
        <f t="shared" si="10"/>
        <v>0</v>
      </c>
      <c r="F13" s="68">
        <f t="shared" si="11"/>
        <v>0</v>
      </c>
      <c r="G13" s="60">
        <f t="shared" si="6"/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100" t="s">
        <v>188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2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103" t="s">
        <v>5</v>
      </c>
      <c r="B16" s="103" t="s">
        <v>6</v>
      </c>
      <c r="C16" s="103" t="s">
        <v>189</v>
      </c>
      <c r="D16" s="103" t="s">
        <v>27</v>
      </c>
      <c r="E16" s="103" t="s">
        <v>185</v>
      </c>
      <c r="F16" s="103" t="s">
        <v>186</v>
      </c>
      <c r="G16" s="103" t="s">
        <v>190</v>
      </c>
      <c r="H16" s="103" t="s">
        <v>191</v>
      </c>
      <c r="I16" s="103" t="s">
        <v>65</v>
      </c>
      <c r="J16" s="103" t="s">
        <v>71</v>
      </c>
      <c r="K16" s="104" t="s">
        <v>28</v>
      </c>
      <c r="L16" s="105" t="s">
        <v>192</v>
      </c>
      <c r="M16" s="103" t="s">
        <v>180</v>
      </c>
      <c r="N16" s="35"/>
      <c r="O16" s="35"/>
      <c r="P16" s="106" t="s">
        <v>193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68">
        <v>1.0</v>
      </c>
      <c r="B17" s="107">
        <v>46028.0</v>
      </c>
      <c r="C17" s="68" t="s">
        <v>194</v>
      </c>
      <c r="D17" s="68" t="s">
        <v>195</v>
      </c>
      <c r="E17" s="68">
        <v>1.0</v>
      </c>
      <c r="F17" s="68">
        <v>1.0</v>
      </c>
      <c r="G17" s="59"/>
      <c r="H17" s="59"/>
      <c r="I17" s="59"/>
      <c r="J17" s="68" t="s">
        <v>29</v>
      </c>
      <c r="K17" s="68" t="s">
        <v>196</v>
      </c>
      <c r="L17" s="68"/>
      <c r="M17" s="68">
        <f t="shared" ref="M17:M227" si="12">MONTH(B17)</f>
        <v>1</v>
      </c>
      <c r="N17" s="35"/>
      <c r="O17" s="35"/>
      <c r="P17" s="108" t="s">
        <v>180</v>
      </c>
      <c r="Q17" s="109" t="s">
        <v>185</v>
      </c>
      <c r="R17" s="110"/>
      <c r="S17" s="109" t="s">
        <v>186</v>
      </c>
      <c r="T17" s="110"/>
      <c r="U17" s="109" t="s">
        <v>187</v>
      </c>
      <c r="V17" s="111"/>
      <c r="W17" s="35"/>
      <c r="X17" s="35"/>
      <c r="Y17" s="35"/>
      <c r="Z17" s="35"/>
      <c r="AA17" s="35"/>
    </row>
    <row r="18">
      <c r="A18" s="68">
        <v>2.0</v>
      </c>
      <c r="B18" s="107">
        <v>46029.0</v>
      </c>
      <c r="C18" s="68" t="s">
        <v>197</v>
      </c>
      <c r="D18" s="68" t="s">
        <v>198</v>
      </c>
      <c r="E18" s="59"/>
      <c r="F18" s="68">
        <v>1.0</v>
      </c>
      <c r="G18" s="68">
        <v>1.0</v>
      </c>
      <c r="H18" s="59"/>
      <c r="I18" s="59"/>
      <c r="J18" s="68" t="s">
        <v>36</v>
      </c>
      <c r="K18" s="68" t="s">
        <v>196</v>
      </c>
      <c r="L18" s="68"/>
      <c r="M18" s="68">
        <f t="shared" si="12"/>
        <v>1</v>
      </c>
      <c r="N18" s="35"/>
      <c r="O18" s="35"/>
      <c r="P18" s="112"/>
      <c r="Q18" s="98" t="s">
        <v>196</v>
      </c>
      <c r="R18" s="98" t="s">
        <v>199</v>
      </c>
      <c r="S18" s="98" t="s">
        <v>196</v>
      </c>
      <c r="T18" s="98" t="s">
        <v>199</v>
      </c>
      <c r="U18" s="98" t="s">
        <v>196</v>
      </c>
      <c r="V18" s="113" t="s">
        <v>199</v>
      </c>
      <c r="W18" s="35" t="s">
        <v>84</v>
      </c>
      <c r="X18" s="35"/>
      <c r="Y18" s="35"/>
      <c r="Z18" s="35"/>
      <c r="AA18" s="35"/>
    </row>
    <row r="19">
      <c r="A19" s="68">
        <v>3.0</v>
      </c>
      <c r="B19" s="107">
        <v>46029.0</v>
      </c>
      <c r="C19" s="68" t="s">
        <v>200</v>
      </c>
      <c r="D19" s="68" t="s">
        <v>201</v>
      </c>
      <c r="E19" s="68">
        <v>1.0</v>
      </c>
      <c r="F19" s="59"/>
      <c r="G19" s="68">
        <v>1.0</v>
      </c>
      <c r="H19" s="59"/>
      <c r="I19" s="59"/>
      <c r="J19" s="68" t="s">
        <v>36</v>
      </c>
      <c r="K19" s="68" t="s">
        <v>196</v>
      </c>
      <c r="L19" s="68"/>
      <c r="M19" s="68">
        <f t="shared" si="12"/>
        <v>1</v>
      </c>
      <c r="N19" s="35"/>
      <c r="O19" s="35"/>
      <c r="P19" s="114">
        <v>1.0</v>
      </c>
      <c r="Q19" s="115">
        <f t="shared" ref="Q19:Q30" si="13">COUNTIFS($M$17:$M$185,P19,$K$17:$K$185,$Q$18,$E$17:$E$185,"1")</f>
        <v>4</v>
      </c>
      <c r="R19" s="115">
        <f t="shared" ref="R19:R30" si="14">COUNTIFS($M$17:$M$185,P19,$K$17:$K$185,$R$18,$E$17:$E$185,"1")</f>
        <v>1</v>
      </c>
      <c r="S19" s="115">
        <f t="shared" ref="S19:S30" si="15">COUNTIFS($M$17:$M$185,P19,$K$17:$K$185,$S$18,$F$17:$F$185,"1")</f>
        <v>5</v>
      </c>
      <c r="T19" s="115">
        <f t="shared" ref="T19:T30" si="16">COUNTIFS($M$17:$M$185,P19,$K$17:$K$185,$T$18,$F$17:$F$185,"1")</f>
        <v>0</v>
      </c>
      <c r="U19" s="115">
        <f t="shared" ref="U19:U30" si="17">COUNTIFS($M$17:$M$185,P19,$K$17:$K$185,$U$18,$G$17:$G$185,"1")</f>
        <v>13</v>
      </c>
      <c r="V19" s="116">
        <f t="shared" ref="V19:V30" si="18">COUNTIFS($M$17:$M$185,P19,$K$17:$K$185,$V$18,$G$17:$G$185,"1")</f>
        <v>0</v>
      </c>
      <c r="W19" s="35"/>
      <c r="X19" s="35"/>
      <c r="Y19" s="35"/>
      <c r="Z19" s="35"/>
      <c r="AA19" s="35"/>
    </row>
    <row r="20">
      <c r="A20" s="68">
        <v>4.0</v>
      </c>
      <c r="B20" s="107">
        <v>46031.0</v>
      </c>
      <c r="C20" s="68" t="s">
        <v>202</v>
      </c>
      <c r="D20" s="68" t="s">
        <v>195</v>
      </c>
      <c r="E20" s="59"/>
      <c r="F20" s="59"/>
      <c r="G20" s="68">
        <v>1.0</v>
      </c>
      <c r="H20" s="68">
        <v>1.0</v>
      </c>
      <c r="I20" s="59"/>
      <c r="J20" s="68" t="s">
        <v>87</v>
      </c>
      <c r="K20" s="59"/>
      <c r="L20" s="68"/>
      <c r="M20" s="68">
        <f t="shared" si="12"/>
        <v>1</v>
      </c>
      <c r="N20" s="35"/>
      <c r="O20" s="35"/>
      <c r="P20" s="114">
        <v>2.0</v>
      </c>
      <c r="Q20" s="115">
        <f t="shared" si="13"/>
        <v>1</v>
      </c>
      <c r="R20" s="115">
        <f t="shared" si="14"/>
        <v>0</v>
      </c>
      <c r="S20" s="115">
        <f t="shared" si="15"/>
        <v>1</v>
      </c>
      <c r="T20" s="115">
        <f t="shared" si="16"/>
        <v>1</v>
      </c>
      <c r="U20" s="115">
        <f t="shared" si="17"/>
        <v>8</v>
      </c>
      <c r="V20" s="116">
        <f t="shared" si="18"/>
        <v>1</v>
      </c>
      <c r="W20" s="35"/>
      <c r="X20" s="35"/>
      <c r="Y20" s="35"/>
      <c r="Z20" s="35"/>
      <c r="AA20" s="35"/>
    </row>
    <row r="21">
      <c r="A21" s="68">
        <v>5.0</v>
      </c>
      <c r="B21" s="107">
        <v>46034.0</v>
      </c>
      <c r="C21" s="68" t="s">
        <v>203</v>
      </c>
      <c r="D21" s="68" t="s">
        <v>198</v>
      </c>
      <c r="E21" s="59"/>
      <c r="F21" s="59"/>
      <c r="G21" s="68">
        <v>1.0</v>
      </c>
      <c r="H21" s="59"/>
      <c r="I21" s="59"/>
      <c r="J21" s="68" t="s">
        <v>85</v>
      </c>
      <c r="K21" s="68" t="s">
        <v>196</v>
      </c>
      <c r="L21" s="59"/>
      <c r="M21" s="68">
        <f t="shared" si="12"/>
        <v>1</v>
      </c>
      <c r="N21" s="35"/>
      <c r="O21" s="35"/>
      <c r="P21" s="114">
        <v>3.0</v>
      </c>
      <c r="Q21" s="115">
        <f t="shared" si="13"/>
        <v>0</v>
      </c>
      <c r="R21" s="115">
        <f t="shared" si="14"/>
        <v>0</v>
      </c>
      <c r="S21" s="115">
        <f t="shared" si="15"/>
        <v>1</v>
      </c>
      <c r="T21" s="115">
        <f t="shared" si="16"/>
        <v>0</v>
      </c>
      <c r="U21" s="115">
        <f t="shared" si="17"/>
        <v>4</v>
      </c>
      <c r="V21" s="116">
        <f t="shared" si="18"/>
        <v>0</v>
      </c>
      <c r="W21" s="35"/>
      <c r="X21" s="35"/>
      <c r="Y21" s="35"/>
      <c r="Z21" s="35"/>
      <c r="AA21" s="35"/>
    </row>
    <row r="22">
      <c r="A22" s="68">
        <v>6.0</v>
      </c>
      <c r="B22" s="107">
        <v>46036.0</v>
      </c>
      <c r="C22" s="68" t="s">
        <v>204</v>
      </c>
      <c r="D22" s="68" t="s">
        <v>198</v>
      </c>
      <c r="E22" s="68">
        <v>1.0</v>
      </c>
      <c r="F22" s="68">
        <v>1.0</v>
      </c>
      <c r="G22" s="68">
        <v>1.0</v>
      </c>
      <c r="H22" s="59"/>
      <c r="I22" s="59"/>
      <c r="J22" s="59"/>
      <c r="K22" s="68" t="s">
        <v>196</v>
      </c>
      <c r="L22" s="68"/>
      <c r="M22" s="68">
        <f t="shared" si="12"/>
        <v>1</v>
      </c>
      <c r="N22" s="35"/>
      <c r="O22" s="35"/>
      <c r="P22" s="114">
        <v>4.0</v>
      </c>
      <c r="Q22" s="115">
        <f t="shared" si="13"/>
        <v>0</v>
      </c>
      <c r="R22" s="115">
        <f t="shared" si="14"/>
        <v>0</v>
      </c>
      <c r="S22" s="115">
        <f t="shared" si="15"/>
        <v>0</v>
      </c>
      <c r="T22" s="115">
        <f t="shared" si="16"/>
        <v>0</v>
      </c>
      <c r="U22" s="115">
        <f t="shared" si="17"/>
        <v>0</v>
      </c>
      <c r="V22" s="116">
        <f t="shared" si="18"/>
        <v>0</v>
      </c>
      <c r="W22" s="35"/>
      <c r="X22" s="35"/>
      <c r="Y22" s="35"/>
      <c r="Z22" s="35"/>
      <c r="AA22" s="35"/>
    </row>
    <row r="23">
      <c r="A23" s="68">
        <v>7.0</v>
      </c>
      <c r="B23" s="107">
        <v>46042.0</v>
      </c>
      <c r="C23" s="68" t="s">
        <v>205</v>
      </c>
      <c r="D23" s="68" t="s">
        <v>201</v>
      </c>
      <c r="E23" s="59"/>
      <c r="F23" s="59"/>
      <c r="G23" s="68">
        <v>1.0</v>
      </c>
      <c r="H23" s="68">
        <v>1.0</v>
      </c>
      <c r="I23" s="59"/>
      <c r="J23" s="68" t="s">
        <v>87</v>
      </c>
      <c r="K23" s="68" t="s">
        <v>196</v>
      </c>
      <c r="L23" s="68"/>
      <c r="M23" s="68">
        <f t="shared" si="12"/>
        <v>1</v>
      </c>
      <c r="N23" s="35"/>
      <c r="O23" s="35"/>
      <c r="P23" s="114">
        <v>5.0</v>
      </c>
      <c r="Q23" s="115">
        <f t="shared" si="13"/>
        <v>0</v>
      </c>
      <c r="R23" s="115">
        <f t="shared" si="14"/>
        <v>0</v>
      </c>
      <c r="S23" s="115">
        <f t="shared" si="15"/>
        <v>0</v>
      </c>
      <c r="T23" s="115">
        <f t="shared" si="16"/>
        <v>0</v>
      </c>
      <c r="U23" s="115">
        <f t="shared" si="17"/>
        <v>0</v>
      </c>
      <c r="V23" s="116">
        <f t="shared" si="18"/>
        <v>0</v>
      </c>
      <c r="W23" s="35"/>
      <c r="X23" s="35"/>
      <c r="Y23" s="35"/>
      <c r="Z23" s="35"/>
      <c r="AA23" s="35"/>
    </row>
    <row r="24">
      <c r="A24" s="68">
        <v>8.0</v>
      </c>
      <c r="B24" s="107">
        <v>46044.0</v>
      </c>
      <c r="C24" s="117" t="s">
        <v>206</v>
      </c>
      <c r="D24" s="117" t="s">
        <v>198</v>
      </c>
      <c r="E24" s="59"/>
      <c r="F24" s="59"/>
      <c r="G24" s="117">
        <v>1.0</v>
      </c>
      <c r="H24" s="118">
        <v>1.0</v>
      </c>
      <c r="I24" s="32"/>
      <c r="J24" s="117" t="s">
        <v>86</v>
      </c>
      <c r="K24" s="68" t="s">
        <v>196</v>
      </c>
      <c r="L24" s="117"/>
      <c r="M24" s="68">
        <f t="shared" si="12"/>
        <v>1</v>
      </c>
      <c r="N24" s="35"/>
      <c r="O24" s="35"/>
      <c r="P24" s="114">
        <v>6.0</v>
      </c>
      <c r="Q24" s="115">
        <f t="shared" si="13"/>
        <v>0</v>
      </c>
      <c r="R24" s="115">
        <f t="shared" si="14"/>
        <v>0</v>
      </c>
      <c r="S24" s="115">
        <f t="shared" si="15"/>
        <v>0</v>
      </c>
      <c r="T24" s="115">
        <f t="shared" si="16"/>
        <v>0</v>
      </c>
      <c r="U24" s="115">
        <f t="shared" si="17"/>
        <v>0</v>
      </c>
      <c r="V24" s="116">
        <f t="shared" si="18"/>
        <v>0</v>
      </c>
      <c r="W24" s="35"/>
      <c r="X24" s="35"/>
      <c r="Y24" s="35"/>
      <c r="Z24" s="35"/>
      <c r="AA24" s="35"/>
    </row>
    <row r="25">
      <c r="A25" s="68">
        <v>9.0</v>
      </c>
      <c r="B25" s="119">
        <v>46035.0</v>
      </c>
      <c r="C25" s="120" t="s">
        <v>207</v>
      </c>
      <c r="D25" s="120" t="s">
        <v>201</v>
      </c>
      <c r="E25" s="121"/>
      <c r="F25" s="121"/>
      <c r="G25" s="120">
        <v>1.0</v>
      </c>
      <c r="H25" s="122">
        <v>1.0</v>
      </c>
      <c r="I25" s="121"/>
      <c r="J25" s="120" t="s">
        <v>87</v>
      </c>
      <c r="K25" s="68" t="s">
        <v>196</v>
      </c>
      <c r="L25" s="120"/>
      <c r="M25" s="68">
        <f t="shared" si="12"/>
        <v>1</v>
      </c>
      <c r="N25" s="35"/>
      <c r="O25" s="35"/>
      <c r="P25" s="114">
        <v>7.0</v>
      </c>
      <c r="Q25" s="115">
        <f t="shared" si="13"/>
        <v>0</v>
      </c>
      <c r="R25" s="115">
        <f t="shared" si="14"/>
        <v>0</v>
      </c>
      <c r="S25" s="115">
        <f t="shared" si="15"/>
        <v>0</v>
      </c>
      <c r="T25" s="115">
        <f t="shared" si="16"/>
        <v>0</v>
      </c>
      <c r="U25" s="115">
        <f t="shared" si="17"/>
        <v>0</v>
      </c>
      <c r="V25" s="116">
        <f t="shared" si="18"/>
        <v>0</v>
      </c>
      <c r="W25" s="35"/>
      <c r="X25" s="35"/>
      <c r="Y25" s="35"/>
      <c r="Z25" s="35"/>
      <c r="AA25" s="35"/>
    </row>
    <row r="26">
      <c r="A26" s="68">
        <v>10.0</v>
      </c>
      <c r="B26" s="119">
        <v>46048.0</v>
      </c>
      <c r="C26" s="120" t="s">
        <v>208</v>
      </c>
      <c r="D26" s="120" t="s">
        <v>198</v>
      </c>
      <c r="E26" s="122">
        <v>1.0</v>
      </c>
      <c r="F26" s="121"/>
      <c r="G26" s="121"/>
      <c r="H26" s="121"/>
      <c r="I26" s="121"/>
      <c r="J26" s="120" t="s">
        <v>36</v>
      </c>
      <c r="K26" s="68" t="s">
        <v>199</v>
      </c>
      <c r="L26" s="120"/>
      <c r="M26" s="68">
        <f t="shared" si="12"/>
        <v>1</v>
      </c>
      <c r="N26" s="35"/>
      <c r="O26" s="35"/>
      <c r="P26" s="114">
        <v>8.0</v>
      </c>
      <c r="Q26" s="115">
        <f t="shared" si="13"/>
        <v>0</v>
      </c>
      <c r="R26" s="115">
        <f t="shared" si="14"/>
        <v>0</v>
      </c>
      <c r="S26" s="115">
        <f t="shared" si="15"/>
        <v>0</v>
      </c>
      <c r="T26" s="115">
        <f t="shared" si="16"/>
        <v>0</v>
      </c>
      <c r="U26" s="115">
        <f t="shared" si="17"/>
        <v>0</v>
      </c>
      <c r="V26" s="116">
        <f t="shared" si="18"/>
        <v>0</v>
      </c>
      <c r="W26" s="35"/>
      <c r="X26" s="35"/>
      <c r="Y26" s="35"/>
      <c r="Z26" s="35"/>
      <c r="AA26" s="35"/>
    </row>
    <row r="27">
      <c r="A27" s="68">
        <v>11.0</v>
      </c>
      <c r="B27" s="123">
        <v>46049.0</v>
      </c>
      <c r="C27" s="68" t="s">
        <v>209</v>
      </c>
      <c r="D27" s="68" t="s">
        <v>198</v>
      </c>
      <c r="E27" s="68">
        <v>1.0</v>
      </c>
      <c r="F27" s="68">
        <v>1.0</v>
      </c>
      <c r="G27" s="59"/>
      <c r="H27" s="59"/>
      <c r="I27" s="59"/>
      <c r="J27" s="68" t="s">
        <v>86</v>
      </c>
      <c r="K27" s="68" t="s">
        <v>196</v>
      </c>
      <c r="L27" s="68"/>
      <c r="M27" s="68">
        <f t="shared" si="12"/>
        <v>1</v>
      </c>
      <c r="N27" s="35"/>
      <c r="O27" s="35"/>
      <c r="P27" s="114">
        <v>9.0</v>
      </c>
      <c r="Q27" s="115">
        <f t="shared" si="13"/>
        <v>0</v>
      </c>
      <c r="R27" s="115">
        <f t="shared" si="14"/>
        <v>0</v>
      </c>
      <c r="S27" s="115">
        <f t="shared" si="15"/>
        <v>0</v>
      </c>
      <c r="T27" s="115">
        <f t="shared" si="16"/>
        <v>0</v>
      </c>
      <c r="U27" s="115">
        <f t="shared" si="17"/>
        <v>0</v>
      </c>
      <c r="V27" s="116">
        <f t="shared" si="18"/>
        <v>0</v>
      </c>
      <c r="W27" s="35"/>
      <c r="X27" s="35"/>
      <c r="Y27" s="35"/>
      <c r="Z27" s="35"/>
      <c r="AA27" s="35"/>
    </row>
    <row r="28">
      <c r="A28" s="68">
        <v>12.0</v>
      </c>
      <c r="B28" s="123">
        <v>46028.0</v>
      </c>
      <c r="C28" s="68" t="s">
        <v>194</v>
      </c>
      <c r="D28" s="68" t="s">
        <v>198</v>
      </c>
      <c r="E28" s="59"/>
      <c r="F28" s="59"/>
      <c r="G28" s="68">
        <v>1.0</v>
      </c>
      <c r="H28" s="68">
        <v>1.0</v>
      </c>
      <c r="I28" s="59"/>
      <c r="J28" s="68" t="s">
        <v>29</v>
      </c>
      <c r="K28" s="68" t="s">
        <v>196</v>
      </c>
      <c r="L28" s="68"/>
      <c r="M28" s="68">
        <f t="shared" si="12"/>
        <v>1</v>
      </c>
      <c r="N28" s="35"/>
      <c r="O28" s="35"/>
      <c r="P28" s="114">
        <v>10.0</v>
      </c>
      <c r="Q28" s="115">
        <f t="shared" si="13"/>
        <v>0</v>
      </c>
      <c r="R28" s="115">
        <f t="shared" si="14"/>
        <v>0</v>
      </c>
      <c r="S28" s="115">
        <f t="shared" si="15"/>
        <v>0</v>
      </c>
      <c r="T28" s="115">
        <f t="shared" si="16"/>
        <v>0</v>
      </c>
      <c r="U28" s="115">
        <f t="shared" si="17"/>
        <v>0</v>
      </c>
      <c r="V28" s="116">
        <f t="shared" si="18"/>
        <v>0</v>
      </c>
      <c r="W28" s="35"/>
      <c r="X28" s="35"/>
      <c r="Y28" s="35"/>
      <c r="Z28" s="35"/>
      <c r="AA28" s="35"/>
    </row>
    <row r="29">
      <c r="A29" s="68">
        <v>13.0</v>
      </c>
      <c r="B29" s="123">
        <v>46052.0</v>
      </c>
      <c r="C29" s="68" t="s">
        <v>210</v>
      </c>
      <c r="D29" s="68" t="s">
        <v>198</v>
      </c>
      <c r="E29" s="59"/>
      <c r="F29" s="68">
        <v>1.0</v>
      </c>
      <c r="G29" s="68">
        <v>1.0</v>
      </c>
      <c r="H29" s="59"/>
      <c r="I29" s="59"/>
      <c r="J29" s="68" t="s">
        <v>85</v>
      </c>
      <c r="K29" s="68" t="s">
        <v>196</v>
      </c>
      <c r="L29" s="68"/>
      <c r="M29" s="68">
        <f t="shared" si="12"/>
        <v>1</v>
      </c>
      <c r="N29" s="35"/>
      <c r="O29" s="35"/>
      <c r="P29" s="114">
        <v>11.0</v>
      </c>
      <c r="Q29" s="115">
        <f t="shared" si="13"/>
        <v>0</v>
      </c>
      <c r="R29" s="115">
        <f t="shared" si="14"/>
        <v>0</v>
      </c>
      <c r="S29" s="115">
        <f t="shared" si="15"/>
        <v>0</v>
      </c>
      <c r="T29" s="115">
        <f t="shared" si="16"/>
        <v>0</v>
      </c>
      <c r="U29" s="115">
        <f t="shared" si="17"/>
        <v>0</v>
      </c>
      <c r="V29" s="116">
        <f t="shared" si="18"/>
        <v>0</v>
      </c>
      <c r="W29" s="35"/>
      <c r="X29" s="35"/>
      <c r="Y29" s="35"/>
      <c r="Z29" s="35"/>
      <c r="AA29" s="35"/>
    </row>
    <row r="30">
      <c r="A30" s="68">
        <v>14.0</v>
      </c>
      <c r="B30" s="123">
        <v>46049.0</v>
      </c>
      <c r="C30" s="68" t="s">
        <v>211</v>
      </c>
      <c r="D30" s="68" t="s">
        <v>212</v>
      </c>
      <c r="E30" s="59"/>
      <c r="F30" s="59"/>
      <c r="G30" s="68">
        <v>1.0</v>
      </c>
      <c r="H30" s="59"/>
      <c r="I30" s="59"/>
      <c r="J30" s="68" t="s">
        <v>87</v>
      </c>
      <c r="K30" s="68" t="s">
        <v>196</v>
      </c>
      <c r="L30" s="68"/>
      <c r="M30" s="68">
        <f t="shared" si="12"/>
        <v>1</v>
      </c>
      <c r="N30" s="35"/>
      <c r="O30" s="35"/>
      <c r="P30" s="124">
        <v>12.0</v>
      </c>
      <c r="Q30" s="125">
        <f t="shared" si="13"/>
        <v>0</v>
      </c>
      <c r="R30" s="125">
        <f t="shared" si="14"/>
        <v>0</v>
      </c>
      <c r="S30" s="125">
        <f t="shared" si="15"/>
        <v>0</v>
      </c>
      <c r="T30" s="125">
        <f t="shared" si="16"/>
        <v>0</v>
      </c>
      <c r="U30" s="125">
        <f t="shared" si="17"/>
        <v>0</v>
      </c>
      <c r="V30" s="126">
        <f t="shared" si="18"/>
        <v>0</v>
      </c>
      <c r="W30" s="35"/>
      <c r="X30" s="35"/>
      <c r="Y30" s="35"/>
      <c r="Z30" s="35"/>
      <c r="AA30" s="35"/>
    </row>
    <row r="31">
      <c r="A31" s="68">
        <v>15.0</v>
      </c>
      <c r="B31" s="123">
        <v>46052.0</v>
      </c>
      <c r="C31" s="68" t="s">
        <v>213</v>
      </c>
      <c r="D31" s="68" t="s">
        <v>201</v>
      </c>
      <c r="E31" s="59"/>
      <c r="F31" s="59"/>
      <c r="G31" s="59"/>
      <c r="H31" s="68">
        <v>1.0</v>
      </c>
      <c r="I31" s="59"/>
      <c r="J31" s="68" t="s">
        <v>87</v>
      </c>
      <c r="K31" s="59"/>
      <c r="L31" s="68"/>
      <c r="M31" s="68">
        <f t="shared" si="12"/>
        <v>1</v>
      </c>
      <c r="N31" s="35"/>
      <c r="O31" s="35"/>
      <c r="P31" s="45"/>
      <c r="Q31" s="45"/>
      <c r="R31" s="45"/>
      <c r="S31" s="45"/>
      <c r="T31" s="35"/>
      <c r="U31" s="35"/>
      <c r="V31" s="35"/>
      <c r="W31" s="35"/>
      <c r="X31" s="35"/>
      <c r="Y31" s="35"/>
      <c r="Z31" s="35"/>
      <c r="AA31" s="35"/>
    </row>
    <row r="32">
      <c r="A32" s="68">
        <v>16.0</v>
      </c>
      <c r="B32" s="123">
        <v>46052.0</v>
      </c>
      <c r="C32" s="68" t="s">
        <v>214</v>
      </c>
      <c r="D32" s="68" t="s">
        <v>195</v>
      </c>
      <c r="E32" s="59"/>
      <c r="F32" s="59"/>
      <c r="G32" s="59"/>
      <c r="H32" s="68">
        <v>1.0</v>
      </c>
      <c r="I32" s="59"/>
      <c r="J32" s="68" t="s">
        <v>87</v>
      </c>
      <c r="K32" s="68" t="s">
        <v>196</v>
      </c>
      <c r="L32" s="68"/>
      <c r="M32" s="68">
        <f t="shared" si="12"/>
        <v>1</v>
      </c>
      <c r="N32" s="35"/>
      <c r="O32" s="35"/>
      <c r="P32" s="45"/>
      <c r="Q32" s="45"/>
      <c r="R32" s="45"/>
      <c r="S32" s="45"/>
      <c r="T32" s="35"/>
      <c r="U32" s="35"/>
      <c r="V32" s="35"/>
      <c r="W32" s="35"/>
      <c r="X32" s="35"/>
      <c r="Y32" s="35"/>
      <c r="Z32" s="35"/>
      <c r="AA32" s="35"/>
    </row>
    <row r="33">
      <c r="A33" s="68">
        <v>17.0</v>
      </c>
      <c r="B33" s="123">
        <v>46052.0</v>
      </c>
      <c r="C33" s="68" t="s">
        <v>215</v>
      </c>
      <c r="D33" s="68" t="s">
        <v>198</v>
      </c>
      <c r="E33" s="59"/>
      <c r="F33" s="59"/>
      <c r="G33" s="68">
        <v>1.0</v>
      </c>
      <c r="H33" s="68">
        <v>1.0</v>
      </c>
      <c r="I33" s="59"/>
      <c r="J33" s="68" t="s">
        <v>87</v>
      </c>
      <c r="K33" s="59"/>
      <c r="L33" s="68"/>
      <c r="M33" s="68">
        <f t="shared" si="12"/>
        <v>1</v>
      </c>
      <c r="N33" s="35"/>
      <c r="O33" s="35"/>
      <c r="P33" s="45"/>
      <c r="Q33" s="45"/>
      <c r="R33" s="45"/>
      <c r="S33" s="45"/>
      <c r="T33" s="35"/>
      <c r="U33" s="35"/>
      <c r="V33" s="35"/>
      <c r="W33" s="35"/>
      <c r="X33" s="35"/>
      <c r="Y33" s="35"/>
      <c r="Z33" s="35"/>
      <c r="AA33" s="35"/>
    </row>
    <row r="34">
      <c r="A34" s="68">
        <v>18.0</v>
      </c>
      <c r="B34" s="123">
        <v>46052.0</v>
      </c>
      <c r="C34" s="68" t="s">
        <v>216</v>
      </c>
      <c r="D34" s="68" t="s">
        <v>217</v>
      </c>
      <c r="E34" s="59"/>
      <c r="F34" s="59"/>
      <c r="G34" s="68">
        <v>1.0</v>
      </c>
      <c r="H34" s="68">
        <v>1.0</v>
      </c>
      <c r="I34" s="59"/>
      <c r="J34" s="68" t="s">
        <v>87</v>
      </c>
      <c r="K34" s="59"/>
      <c r="L34" s="68"/>
      <c r="M34" s="68">
        <f t="shared" si="12"/>
        <v>1</v>
      </c>
      <c r="N34" s="35"/>
      <c r="O34" s="35"/>
      <c r="P34" s="45"/>
      <c r="Q34" s="45"/>
      <c r="R34" s="45"/>
      <c r="S34" s="45"/>
      <c r="T34" s="35"/>
      <c r="U34" s="35"/>
      <c r="V34" s="35"/>
      <c r="W34" s="35"/>
      <c r="X34" s="35"/>
      <c r="Y34" s="35"/>
      <c r="Z34" s="35"/>
      <c r="AA34" s="35"/>
    </row>
    <row r="35">
      <c r="A35" s="68">
        <v>19.0</v>
      </c>
      <c r="B35" s="127">
        <v>46056.0</v>
      </c>
      <c r="C35" s="68" t="s">
        <v>218</v>
      </c>
      <c r="D35" s="68" t="s">
        <v>198</v>
      </c>
      <c r="E35" s="59"/>
      <c r="F35" s="59"/>
      <c r="G35" s="68">
        <v>1.0</v>
      </c>
      <c r="H35" s="68">
        <v>1.0</v>
      </c>
      <c r="I35" s="59"/>
      <c r="J35" s="68" t="s">
        <v>85</v>
      </c>
      <c r="K35" s="68" t="s">
        <v>196</v>
      </c>
      <c r="L35" s="68"/>
      <c r="M35" s="68">
        <f t="shared" si="12"/>
        <v>2</v>
      </c>
      <c r="N35" s="35"/>
      <c r="O35" s="35"/>
      <c r="P35" s="45"/>
      <c r="Q35" s="45"/>
      <c r="R35" s="45"/>
      <c r="S35" s="45"/>
      <c r="T35" s="35"/>
      <c r="U35" s="35"/>
      <c r="V35" s="35"/>
      <c r="W35" s="35"/>
      <c r="X35" s="35"/>
      <c r="Y35" s="35"/>
      <c r="Z35" s="35"/>
      <c r="AA35" s="35"/>
    </row>
    <row r="36">
      <c r="A36" s="68">
        <v>20.0</v>
      </c>
      <c r="B36" s="123">
        <v>46057.0</v>
      </c>
      <c r="C36" s="68" t="s">
        <v>219</v>
      </c>
      <c r="D36" s="68" t="s">
        <v>201</v>
      </c>
      <c r="E36" s="68">
        <v>1.0</v>
      </c>
      <c r="F36" s="68">
        <v>1.0</v>
      </c>
      <c r="G36" s="68">
        <v>1.0</v>
      </c>
      <c r="H36" s="68">
        <v>1.0</v>
      </c>
      <c r="I36" s="59"/>
      <c r="J36" s="68" t="s">
        <v>87</v>
      </c>
      <c r="K36" s="59"/>
      <c r="L36" s="68"/>
      <c r="M36" s="68">
        <f t="shared" si="12"/>
        <v>2</v>
      </c>
      <c r="N36" s="35"/>
      <c r="O36" s="35"/>
      <c r="P36" s="45"/>
      <c r="Q36" s="45"/>
      <c r="R36" s="45"/>
      <c r="S36" s="45"/>
      <c r="T36" s="35"/>
      <c r="U36" s="35"/>
      <c r="V36" s="35"/>
      <c r="W36" s="35"/>
      <c r="X36" s="35"/>
      <c r="Y36" s="35"/>
      <c r="Z36" s="35"/>
      <c r="AA36" s="35"/>
    </row>
    <row r="37">
      <c r="A37" s="68">
        <v>21.0</v>
      </c>
      <c r="B37" s="123">
        <v>46065.0</v>
      </c>
      <c r="C37" s="68" t="s">
        <v>220</v>
      </c>
      <c r="D37" s="68" t="s">
        <v>201</v>
      </c>
      <c r="E37" s="68">
        <v>1.0</v>
      </c>
      <c r="F37" s="68">
        <v>1.0</v>
      </c>
      <c r="G37" s="68">
        <v>1.0</v>
      </c>
      <c r="H37" s="68">
        <v>1.0</v>
      </c>
      <c r="I37" s="59"/>
      <c r="J37" s="68" t="s">
        <v>87</v>
      </c>
      <c r="K37" s="68" t="s">
        <v>196</v>
      </c>
      <c r="L37" s="68"/>
      <c r="M37" s="68">
        <f t="shared" si="12"/>
        <v>2</v>
      </c>
      <c r="N37" s="35"/>
      <c r="O37" s="35"/>
      <c r="P37" s="45"/>
      <c r="Q37" s="45"/>
      <c r="R37" s="45"/>
      <c r="S37" s="45"/>
      <c r="T37" s="35"/>
      <c r="U37" s="35"/>
      <c r="V37" s="35"/>
      <c r="W37" s="35"/>
      <c r="X37" s="35"/>
      <c r="Y37" s="35"/>
      <c r="Z37" s="35"/>
      <c r="AA37" s="35"/>
    </row>
    <row r="38">
      <c r="A38" s="68">
        <v>22.0</v>
      </c>
      <c r="B38" s="123">
        <v>46077.0</v>
      </c>
      <c r="C38" s="68" t="s">
        <v>221</v>
      </c>
      <c r="D38" s="68" t="s">
        <v>198</v>
      </c>
      <c r="E38" s="59"/>
      <c r="F38" s="68">
        <v>1.0</v>
      </c>
      <c r="G38" s="68">
        <v>1.0</v>
      </c>
      <c r="H38" s="59"/>
      <c r="I38" s="59"/>
      <c r="J38" s="68" t="s">
        <v>36</v>
      </c>
      <c r="K38" s="68" t="s">
        <v>199</v>
      </c>
      <c r="L38" s="68"/>
      <c r="M38" s="68">
        <f t="shared" si="12"/>
        <v>2</v>
      </c>
      <c r="N38" s="35"/>
      <c r="O38" s="35"/>
      <c r="P38" s="45"/>
      <c r="Q38" s="45"/>
      <c r="R38" s="45"/>
      <c r="S38" s="45"/>
      <c r="T38" s="35"/>
      <c r="U38" s="35"/>
      <c r="V38" s="35"/>
      <c r="W38" s="35"/>
      <c r="X38" s="35"/>
      <c r="Y38" s="35"/>
      <c r="Z38" s="35"/>
      <c r="AA38" s="35"/>
    </row>
    <row r="39">
      <c r="A39" s="68">
        <v>23.0</v>
      </c>
      <c r="B39" s="123">
        <v>46079.0</v>
      </c>
      <c r="C39" s="68" t="s">
        <v>222</v>
      </c>
      <c r="D39" s="68" t="s">
        <v>198</v>
      </c>
      <c r="E39" s="59"/>
      <c r="F39" s="59"/>
      <c r="G39" s="68">
        <v>1.0</v>
      </c>
      <c r="H39" s="59"/>
      <c r="I39" s="59"/>
      <c r="J39" s="68" t="s">
        <v>85</v>
      </c>
      <c r="K39" s="68" t="s">
        <v>196</v>
      </c>
      <c r="L39" s="68"/>
      <c r="M39" s="68">
        <f t="shared" si="12"/>
        <v>2</v>
      </c>
      <c r="N39" s="35"/>
      <c r="O39" s="35"/>
      <c r="P39" s="45"/>
      <c r="Q39" s="45"/>
      <c r="R39" s="45"/>
      <c r="S39" s="45"/>
      <c r="T39" s="35"/>
      <c r="U39" s="35"/>
      <c r="V39" s="35"/>
      <c r="W39" s="35"/>
      <c r="X39" s="35"/>
      <c r="Y39" s="35"/>
      <c r="Z39" s="35"/>
      <c r="AA39" s="35"/>
    </row>
    <row r="40">
      <c r="A40" s="68">
        <v>24.0</v>
      </c>
      <c r="B40" s="107">
        <v>46080.0</v>
      </c>
      <c r="C40" s="68" t="s">
        <v>223</v>
      </c>
      <c r="D40" s="68" t="s">
        <v>195</v>
      </c>
      <c r="E40" s="59"/>
      <c r="F40" s="59"/>
      <c r="G40" s="68">
        <v>1.0</v>
      </c>
      <c r="H40" s="59"/>
      <c r="I40" s="59"/>
      <c r="J40" s="68" t="s">
        <v>29</v>
      </c>
      <c r="K40" s="68" t="s">
        <v>196</v>
      </c>
      <c r="L40" s="68"/>
      <c r="M40" s="68">
        <f t="shared" si="12"/>
        <v>2</v>
      </c>
      <c r="N40" s="35"/>
      <c r="O40" s="35"/>
      <c r="P40" s="45"/>
      <c r="Q40" s="45"/>
      <c r="R40" s="45"/>
      <c r="S40" s="45"/>
      <c r="T40" s="35"/>
      <c r="U40" s="35"/>
      <c r="V40" s="35"/>
      <c r="W40" s="35"/>
      <c r="X40" s="35"/>
      <c r="Y40" s="35"/>
      <c r="Z40" s="35"/>
      <c r="AA40" s="35"/>
    </row>
    <row r="41">
      <c r="A41" s="68">
        <v>25.0</v>
      </c>
      <c r="B41" s="107">
        <v>46086.0</v>
      </c>
      <c r="C41" s="68" t="s">
        <v>224</v>
      </c>
      <c r="D41" s="68" t="s">
        <v>198</v>
      </c>
      <c r="E41" s="59"/>
      <c r="F41" s="68">
        <v>1.0</v>
      </c>
      <c r="G41" s="59"/>
      <c r="H41" s="59"/>
      <c r="I41" s="59"/>
      <c r="J41" s="68" t="s">
        <v>36</v>
      </c>
      <c r="K41" s="68" t="s">
        <v>196</v>
      </c>
      <c r="L41" s="68"/>
      <c r="M41" s="68">
        <f t="shared" si="12"/>
        <v>3</v>
      </c>
      <c r="N41" s="35"/>
      <c r="O41" s="35"/>
      <c r="P41" s="45"/>
      <c r="Q41" s="45"/>
      <c r="R41" s="45"/>
      <c r="S41" s="45"/>
      <c r="T41" s="35"/>
      <c r="U41" s="35"/>
      <c r="V41" s="35"/>
      <c r="W41" s="35"/>
      <c r="X41" s="35"/>
      <c r="Y41" s="35"/>
      <c r="Z41" s="35"/>
      <c r="AA41" s="35"/>
    </row>
    <row r="42">
      <c r="A42" s="68">
        <v>26.0</v>
      </c>
      <c r="B42" s="128">
        <v>46092.0</v>
      </c>
      <c r="C42" s="68" t="s">
        <v>225</v>
      </c>
      <c r="D42" s="68" t="s">
        <v>198</v>
      </c>
      <c r="E42" s="59"/>
      <c r="F42" s="59"/>
      <c r="G42" s="68">
        <v>1.0</v>
      </c>
      <c r="H42" s="68">
        <v>1.0</v>
      </c>
      <c r="I42" s="59"/>
      <c r="J42" s="68" t="s">
        <v>29</v>
      </c>
      <c r="K42" s="68" t="s">
        <v>196</v>
      </c>
      <c r="L42" s="68"/>
      <c r="M42" s="68">
        <f t="shared" si="12"/>
        <v>3</v>
      </c>
      <c r="N42" s="35"/>
      <c r="O42" s="35"/>
      <c r="P42" s="45"/>
      <c r="Q42" s="45"/>
      <c r="R42" s="45"/>
      <c r="S42" s="45"/>
      <c r="T42" s="35"/>
      <c r="U42" s="35"/>
      <c r="V42" s="35"/>
      <c r="W42" s="35"/>
      <c r="X42" s="35"/>
      <c r="Y42" s="35"/>
      <c r="Z42" s="35"/>
      <c r="AA42" s="35"/>
    </row>
    <row r="43">
      <c r="A43" s="68">
        <v>27.0</v>
      </c>
      <c r="B43" s="107">
        <v>46079.0</v>
      </c>
      <c r="C43" s="68" t="s">
        <v>226</v>
      </c>
      <c r="D43" s="68" t="s">
        <v>195</v>
      </c>
      <c r="E43" s="59"/>
      <c r="F43" s="59"/>
      <c r="G43" s="68">
        <v>1.0</v>
      </c>
      <c r="H43" s="68">
        <v>1.0</v>
      </c>
      <c r="I43" s="59"/>
      <c r="J43" s="68" t="s">
        <v>42</v>
      </c>
      <c r="K43" s="68" t="s">
        <v>196</v>
      </c>
      <c r="L43" s="68"/>
      <c r="M43" s="68">
        <f t="shared" si="12"/>
        <v>2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>
      <c r="A44" s="68">
        <v>28.0</v>
      </c>
      <c r="B44" s="107">
        <v>46042.0</v>
      </c>
      <c r="C44" s="68" t="s">
        <v>227</v>
      </c>
      <c r="D44" s="68" t="s">
        <v>217</v>
      </c>
      <c r="E44" s="59"/>
      <c r="F44" s="59"/>
      <c r="G44" s="68">
        <v>1.0</v>
      </c>
      <c r="H44" s="59"/>
      <c r="I44" s="59"/>
      <c r="J44" s="68" t="s">
        <v>42</v>
      </c>
      <c r="K44" s="68" t="s">
        <v>196</v>
      </c>
      <c r="L44" s="68"/>
      <c r="M44" s="68">
        <f t="shared" si="12"/>
        <v>1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>
      <c r="A45" s="68">
        <v>29.0</v>
      </c>
      <c r="B45" s="107">
        <v>46050.0</v>
      </c>
      <c r="C45" s="68" t="s">
        <v>228</v>
      </c>
      <c r="D45" s="68" t="s">
        <v>195</v>
      </c>
      <c r="E45" s="59"/>
      <c r="F45" s="59"/>
      <c r="G45" s="68">
        <v>1.0</v>
      </c>
      <c r="H45" s="68">
        <v>1.0</v>
      </c>
      <c r="I45" s="59"/>
      <c r="J45" s="68" t="s">
        <v>42</v>
      </c>
      <c r="K45" s="68" t="s">
        <v>196</v>
      </c>
      <c r="L45" s="68"/>
      <c r="M45" s="68">
        <f t="shared" si="12"/>
        <v>1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>
      <c r="A46" s="68">
        <v>30.0</v>
      </c>
      <c r="B46" s="107">
        <v>46050.0</v>
      </c>
      <c r="C46" s="68" t="s">
        <v>229</v>
      </c>
      <c r="D46" s="68" t="s">
        <v>195</v>
      </c>
      <c r="E46" s="59"/>
      <c r="F46" s="59"/>
      <c r="G46" s="68">
        <v>1.0</v>
      </c>
      <c r="H46" s="68">
        <v>1.0</v>
      </c>
      <c r="I46" s="59"/>
      <c r="J46" s="68" t="s">
        <v>42</v>
      </c>
      <c r="K46" s="68" t="s">
        <v>196</v>
      </c>
      <c r="L46" s="68"/>
      <c r="M46" s="68">
        <f t="shared" si="12"/>
        <v>1</v>
      </c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>
      <c r="A47" s="68">
        <v>31.0</v>
      </c>
      <c r="B47" s="107">
        <v>46062.0</v>
      </c>
      <c r="C47" s="68" t="s">
        <v>230</v>
      </c>
      <c r="D47" s="68" t="s">
        <v>201</v>
      </c>
      <c r="E47" s="59"/>
      <c r="F47" s="59"/>
      <c r="G47" s="68">
        <v>1.0</v>
      </c>
      <c r="H47" s="68">
        <v>1.0</v>
      </c>
      <c r="I47" s="59"/>
      <c r="J47" s="68" t="s">
        <v>42</v>
      </c>
      <c r="K47" s="68" t="s">
        <v>196</v>
      </c>
      <c r="L47" s="68"/>
      <c r="M47" s="68">
        <f t="shared" si="12"/>
        <v>2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>
      <c r="A48" s="68">
        <v>32.0</v>
      </c>
      <c r="B48" s="107">
        <v>46059.0</v>
      </c>
      <c r="C48" s="68" t="s">
        <v>231</v>
      </c>
      <c r="D48" s="68" t="s">
        <v>195</v>
      </c>
      <c r="E48" s="59"/>
      <c r="F48" s="59"/>
      <c r="G48" s="68">
        <v>1.0</v>
      </c>
      <c r="H48" s="68">
        <v>1.0</v>
      </c>
      <c r="I48" s="59"/>
      <c r="J48" s="68" t="s">
        <v>42</v>
      </c>
      <c r="K48" s="68" t="s">
        <v>196</v>
      </c>
      <c r="L48" s="68"/>
      <c r="M48" s="68">
        <f t="shared" si="12"/>
        <v>2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>
      <c r="A49" s="68">
        <v>33.0</v>
      </c>
      <c r="B49" s="107">
        <v>46064.0</v>
      </c>
      <c r="C49" s="68" t="s">
        <v>232</v>
      </c>
      <c r="D49" s="68" t="s">
        <v>198</v>
      </c>
      <c r="E49" s="59"/>
      <c r="F49" s="59"/>
      <c r="G49" s="68">
        <v>1.0</v>
      </c>
      <c r="H49" s="68">
        <v>1.0</v>
      </c>
      <c r="I49" s="59"/>
      <c r="J49" s="68" t="s">
        <v>42</v>
      </c>
      <c r="K49" s="68" t="s">
        <v>196</v>
      </c>
      <c r="L49" s="68"/>
      <c r="M49" s="68">
        <f t="shared" si="12"/>
        <v>2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>
      <c r="A50" s="68">
        <v>34.0</v>
      </c>
      <c r="B50" s="107">
        <v>46092.0</v>
      </c>
      <c r="C50" s="68" t="s">
        <v>233</v>
      </c>
      <c r="D50" s="68" t="s">
        <v>198</v>
      </c>
      <c r="E50" s="59"/>
      <c r="F50" s="59"/>
      <c r="G50" s="68">
        <v>1.0</v>
      </c>
      <c r="H50" s="68">
        <v>1.0</v>
      </c>
      <c r="I50" s="59"/>
      <c r="J50" s="68" t="s">
        <v>87</v>
      </c>
      <c r="K50" s="68" t="s">
        <v>196</v>
      </c>
      <c r="L50" s="68"/>
      <c r="M50" s="68">
        <f t="shared" si="12"/>
        <v>3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>
      <c r="A51" s="68">
        <v>35.0</v>
      </c>
      <c r="B51" s="107">
        <v>46093.0</v>
      </c>
      <c r="C51" s="68" t="s">
        <v>234</v>
      </c>
      <c r="D51" s="68" t="s">
        <v>235</v>
      </c>
      <c r="E51" s="59"/>
      <c r="F51" s="68">
        <v>1.0</v>
      </c>
      <c r="G51" s="59"/>
      <c r="H51" s="59"/>
      <c r="I51" s="59"/>
      <c r="J51" s="68" t="s">
        <v>87</v>
      </c>
      <c r="K51" s="59"/>
      <c r="L51" s="59"/>
      <c r="M51" s="68">
        <f t="shared" si="12"/>
        <v>3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>
      <c r="A52" s="68">
        <v>36.0</v>
      </c>
      <c r="B52" s="107">
        <v>46097.0</v>
      </c>
      <c r="C52" s="68" t="s">
        <v>236</v>
      </c>
      <c r="D52" s="68" t="s">
        <v>201</v>
      </c>
      <c r="E52" s="59"/>
      <c r="F52" s="59"/>
      <c r="G52" s="68">
        <v>1.0</v>
      </c>
      <c r="H52" s="68">
        <v>1.0</v>
      </c>
      <c r="I52" s="59"/>
      <c r="J52" s="68" t="s">
        <v>87</v>
      </c>
      <c r="K52" s="68" t="s">
        <v>196</v>
      </c>
      <c r="L52" s="68"/>
      <c r="M52" s="68">
        <f t="shared" si="12"/>
        <v>3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>
      <c r="A53" s="68">
        <v>37.0</v>
      </c>
      <c r="B53" s="107">
        <v>46098.0</v>
      </c>
      <c r="C53" s="68" t="s">
        <v>237</v>
      </c>
      <c r="D53" s="68" t="s">
        <v>201</v>
      </c>
      <c r="E53" s="59"/>
      <c r="F53" s="59"/>
      <c r="G53" s="68">
        <v>1.0</v>
      </c>
      <c r="H53" s="68">
        <v>1.0</v>
      </c>
      <c r="I53" s="59"/>
      <c r="J53" s="68" t="s">
        <v>29</v>
      </c>
      <c r="K53" s="68" t="s">
        <v>196</v>
      </c>
      <c r="L53" s="68"/>
      <c r="M53" s="68">
        <f t="shared" si="12"/>
        <v>3</v>
      </c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>
      <c r="A54" s="68">
        <v>38.0</v>
      </c>
      <c r="B54" s="12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68">
        <f t="shared" si="12"/>
        <v>12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>
      <c r="A55" s="68">
        <v>39.0</v>
      </c>
      <c r="B55" s="12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68">
        <f t="shared" si="12"/>
        <v>12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>
      <c r="A56" s="68">
        <v>40.0</v>
      </c>
      <c r="B56" s="12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68">
        <f t="shared" si="12"/>
        <v>12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>
      <c r="A57" s="68">
        <v>41.0</v>
      </c>
      <c r="B57" s="12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68">
        <f t="shared" si="12"/>
        <v>12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>
      <c r="A58" s="68">
        <v>42.0</v>
      </c>
      <c r="B58" s="12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68">
        <f t="shared" si="12"/>
        <v>12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>
      <c r="A59" s="68">
        <v>43.0</v>
      </c>
      <c r="B59" s="12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68">
        <f t="shared" si="12"/>
        <v>12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>
      <c r="A60" s="68">
        <v>45.0</v>
      </c>
      <c r="B60" s="12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68">
        <f t="shared" si="12"/>
        <v>12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>
      <c r="A61" s="68">
        <v>46.0</v>
      </c>
      <c r="B61" s="12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68">
        <f t="shared" si="12"/>
        <v>12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>
      <c r="A62" s="68">
        <v>47.0</v>
      </c>
      <c r="B62" s="12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68">
        <f t="shared" si="12"/>
        <v>12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>
      <c r="A63" s="68">
        <v>48.0</v>
      </c>
      <c r="B63" s="12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68">
        <f t="shared" si="12"/>
        <v>12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>
      <c r="A64" s="68">
        <v>49.0</v>
      </c>
      <c r="B64" s="12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68">
        <f t="shared" si="12"/>
        <v>12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>
      <c r="A65" s="68">
        <v>50.0</v>
      </c>
      <c r="B65" s="12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68">
        <f t="shared" si="12"/>
        <v>12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>
      <c r="A66" s="68">
        <v>51.0</v>
      </c>
      <c r="B66" s="12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68">
        <f t="shared" si="12"/>
        <v>12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>
      <c r="A67" s="68">
        <v>52.0</v>
      </c>
      <c r="B67" s="12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68">
        <f t="shared" si="12"/>
        <v>12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>
      <c r="A68" s="68">
        <v>53.0</v>
      </c>
      <c r="B68" s="12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68">
        <f t="shared" si="12"/>
        <v>12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>
      <c r="A69" s="68">
        <v>54.0</v>
      </c>
      <c r="B69" s="12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68">
        <f t="shared" si="12"/>
        <v>12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>
      <c r="A70" s="68">
        <v>55.0</v>
      </c>
      <c r="B70" s="12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68">
        <f t="shared" si="12"/>
        <v>12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>
      <c r="A71" s="68">
        <v>56.0</v>
      </c>
      <c r="B71" s="12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68">
        <f t="shared" si="12"/>
        <v>12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>
      <c r="A72" s="68">
        <v>57.0</v>
      </c>
      <c r="B72" s="12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68">
        <f t="shared" si="12"/>
        <v>12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>
      <c r="A73" s="68">
        <v>58.0</v>
      </c>
      <c r="B73" s="12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68">
        <f t="shared" si="12"/>
        <v>12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>
      <c r="A74" s="68">
        <v>59.0</v>
      </c>
      <c r="B74" s="12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68">
        <f t="shared" si="12"/>
        <v>12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>
      <c r="A75" s="68">
        <v>60.0</v>
      </c>
      <c r="B75" s="12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68">
        <f t="shared" si="12"/>
        <v>12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>
      <c r="A76" s="68">
        <v>61.0</v>
      </c>
      <c r="B76" s="12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68">
        <f t="shared" si="12"/>
        <v>12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>
      <c r="A77" s="68">
        <v>62.0</v>
      </c>
      <c r="B77" s="12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68">
        <f t="shared" si="12"/>
        <v>12</v>
      </c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>
      <c r="A78" s="68">
        <v>63.0</v>
      </c>
      <c r="B78" s="12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68">
        <f t="shared" si="12"/>
        <v>12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>
      <c r="A79" s="68">
        <v>64.0</v>
      </c>
      <c r="B79" s="12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68">
        <f t="shared" si="12"/>
        <v>12</v>
      </c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>
      <c r="A80" s="68">
        <v>65.0</v>
      </c>
      <c r="B80" s="12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68">
        <f t="shared" si="12"/>
        <v>12</v>
      </c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>
      <c r="A81" s="68">
        <v>66.0</v>
      </c>
      <c r="B81" s="12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68">
        <f t="shared" si="12"/>
        <v>12</v>
      </c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>
      <c r="A82" s="68">
        <v>67.0</v>
      </c>
      <c r="B82" s="130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68">
        <f t="shared" si="12"/>
        <v>12</v>
      </c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>
      <c r="A83" s="68">
        <v>68.0</v>
      </c>
      <c r="B83" s="130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68">
        <f t="shared" si="12"/>
        <v>12</v>
      </c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>
      <c r="A84" s="68">
        <v>69.0</v>
      </c>
      <c r="B84" s="130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68">
        <f t="shared" si="12"/>
        <v>12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>
      <c r="A85" s="68">
        <v>70.0</v>
      </c>
      <c r="B85" s="12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68">
        <f t="shared" si="12"/>
        <v>12</v>
      </c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>
      <c r="A86" s="68">
        <v>71.0</v>
      </c>
      <c r="B86" s="12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68">
        <f t="shared" si="12"/>
        <v>12</v>
      </c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>
      <c r="A87" s="68">
        <v>72.0</v>
      </c>
      <c r="B87" s="12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68">
        <f t="shared" si="12"/>
        <v>12</v>
      </c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>
      <c r="A88" s="68">
        <v>73.0</v>
      </c>
      <c r="B88" s="12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68">
        <f t="shared" si="12"/>
        <v>12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>
      <c r="A89" s="68">
        <v>74.0</v>
      </c>
      <c r="B89" s="12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68">
        <f t="shared" si="12"/>
        <v>12</v>
      </c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>
      <c r="A90" s="68">
        <v>75.0</v>
      </c>
      <c r="B90" s="12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68">
        <f t="shared" si="12"/>
        <v>12</v>
      </c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>
      <c r="A91" s="68">
        <v>76.0</v>
      </c>
      <c r="B91" s="12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68">
        <f t="shared" si="12"/>
        <v>12</v>
      </c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>
      <c r="A92" s="68">
        <v>77.0</v>
      </c>
      <c r="B92" s="12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68">
        <f t="shared" si="12"/>
        <v>12</v>
      </c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>
      <c r="A93" s="68">
        <v>78.0</v>
      </c>
      <c r="B93" s="12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68">
        <f t="shared" si="12"/>
        <v>12</v>
      </c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>
      <c r="A94" s="68">
        <v>79.0</v>
      </c>
      <c r="B94" s="12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68">
        <f t="shared" si="12"/>
        <v>12</v>
      </c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>
      <c r="A95" s="68">
        <v>80.0</v>
      </c>
      <c r="B95" s="12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68">
        <f t="shared" si="12"/>
        <v>12</v>
      </c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>
      <c r="A96" s="68">
        <v>81.0</v>
      </c>
      <c r="B96" s="12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68">
        <f t="shared" si="12"/>
        <v>12</v>
      </c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>
      <c r="A97" s="68">
        <v>82.0</v>
      </c>
      <c r="B97" s="12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68">
        <f t="shared" si="12"/>
        <v>12</v>
      </c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>
      <c r="A98" s="68">
        <v>83.0</v>
      </c>
      <c r="B98" s="12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68">
        <f t="shared" si="12"/>
        <v>12</v>
      </c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>
      <c r="A99" s="68">
        <v>84.0</v>
      </c>
      <c r="B99" s="12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68">
        <f t="shared" si="12"/>
        <v>12</v>
      </c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>
      <c r="A100" s="68">
        <v>85.0</v>
      </c>
      <c r="B100" s="12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68">
        <f t="shared" si="12"/>
        <v>12</v>
      </c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>
      <c r="A101" s="68">
        <v>86.0</v>
      </c>
      <c r="B101" s="12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68">
        <f t="shared" si="12"/>
        <v>12</v>
      </c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>
      <c r="A102" s="68">
        <v>87.0</v>
      </c>
      <c r="B102" s="12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68">
        <f t="shared" si="12"/>
        <v>12</v>
      </c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>
      <c r="A103" s="68">
        <v>88.0</v>
      </c>
      <c r="B103" s="12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68">
        <f t="shared" si="12"/>
        <v>12</v>
      </c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>
      <c r="A104" s="68">
        <v>89.0</v>
      </c>
      <c r="B104" s="12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68">
        <f t="shared" si="12"/>
        <v>12</v>
      </c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>
      <c r="A105" s="68">
        <v>90.0</v>
      </c>
      <c r="B105" s="12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68">
        <f t="shared" si="12"/>
        <v>12</v>
      </c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>
      <c r="A106" s="68">
        <v>91.0</v>
      </c>
      <c r="B106" s="12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68">
        <f t="shared" si="12"/>
        <v>12</v>
      </c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>
      <c r="A107" s="68">
        <v>92.0</v>
      </c>
      <c r="B107" s="12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68">
        <f t="shared" si="12"/>
        <v>12</v>
      </c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>
      <c r="A108" s="68">
        <v>93.0</v>
      </c>
      <c r="B108" s="12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68">
        <f t="shared" si="12"/>
        <v>12</v>
      </c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>
      <c r="A109" s="68">
        <v>94.0</v>
      </c>
      <c r="B109" s="12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68">
        <f t="shared" si="12"/>
        <v>12</v>
      </c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>
      <c r="A110" s="68">
        <v>95.0</v>
      </c>
      <c r="B110" s="12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68">
        <f t="shared" si="12"/>
        <v>12</v>
      </c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>
      <c r="A111" s="68">
        <v>96.0</v>
      </c>
      <c r="B111" s="12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68">
        <f t="shared" si="12"/>
        <v>12</v>
      </c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>
      <c r="A112" s="68">
        <v>97.0</v>
      </c>
      <c r="B112" s="12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68">
        <f t="shared" si="12"/>
        <v>12</v>
      </c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>
      <c r="A113" s="68">
        <v>98.0</v>
      </c>
      <c r="B113" s="12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68">
        <f t="shared" si="12"/>
        <v>12</v>
      </c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>
      <c r="A114" s="68">
        <v>99.0</v>
      </c>
      <c r="B114" s="12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68">
        <f t="shared" si="12"/>
        <v>12</v>
      </c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>
      <c r="A115" s="68">
        <v>100.0</v>
      </c>
      <c r="B115" s="12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68">
        <f t="shared" si="12"/>
        <v>12</v>
      </c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>
      <c r="A116" s="68">
        <v>101.0</v>
      </c>
      <c r="B116" s="12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68">
        <f t="shared" si="12"/>
        <v>12</v>
      </c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>
      <c r="A117" s="68">
        <v>102.0</v>
      </c>
      <c r="B117" s="12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68">
        <f t="shared" si="12"/>
        <v>12</v>
      </c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>
      <c r="A118" s="68">
        <v>103.0</v>
      </c>
      <c r="B118" s="12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68">
        <f t="shared" si="12"/>
        <v>12</v>
      </c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>
      <c r="A119" s="68">
        <v>104.0</v>
      </c>
      <c r="B119" s="12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68">
        <f t="shared" si="12"/>
        <v>12</v>
      </c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>
      <c r="A120" s="68">
        <v>105.0</v>
      </c>
      <c r="B120" s="12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68">
        <f t="shared" si="12"/>
        <v>12</v>
      </c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>
      <c r="A121" s="68">
        <v>106.0</v>
      </c>
      <c r="B121" s="12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68">
        <f t="shared" si="12"/>
        <v>12</v>
      </c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>
      <c r="A122" s="68">
        <v>107.0</v>
      </c>
      <c r="B122" s="12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68">
        <f t="shared" si="12"/>
        <v>12</v>
      </c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>
      <c r="A123" s="68">
        <v>108.0</v>
      </c>
      <c r="B123" s="12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68">
        <f t="shared" si="12"/>
        <v>12</v>
      </c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>
      <c r="A124" s="68">
        <v>109.0</v>
      </c>
      <c r="B124" s="12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8">
        <f t="shared" si="12"/>
        <v>12</v>
      </c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>
      <c r="A125" s="68">
        <v>110.0</v>
      </c>
      <c r="B125" s="12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8">
        <f t="shared" si="12"/>
        <v>12</v>
      </c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>
      <c r="A126" s="68">
        <v>111.0</v>
      </c>
      <c r="B126" s="12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8">
        <f t="shared" si="12"/>
        <v>12</v>
      </c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>
      <c r="A127" s="68">
        <v>112.0</v>
      </c>
      <c r="B127" s="12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8">
        <f t="shared" si="12"/>
        <v>12</v>
      </c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>
      <c r="A128" s="68">
        <v>113.0</v>
      </c>
      <c r="B128" s="12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8">
        <f t="shared" si="12"/>
        <v>12</v>
      </c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>
      <c r="A129" s="68">
        <v>114.0</v>
      </c>
      <c r="B129" s="12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8">
        <f t="shared" si="12"/>
        <v>12</v>
      </c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>
      <c r="A130" s="68">
        <v>115.0</v>
      </c>
      <c r="B130" s="12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68">
        <f t="shared" si="12"/>
        <v>12</v>
      </c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>
      <c r="A131" s="68">
        <v>116.0</v>
      </c>
      <c r="B131" s="12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68">
        <f t="shared" si="12"/>
        <v>12</v>
      </c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>
      <c r="A132" s="68">
        <v>117.0</v>
      </c>
      <c r="B132" s="12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68">
        <f t="shared" si="12"/>
        <v>12</v>
      </c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>
      <c r="A133" s="68">
        <v>118.0</v>
      </c>
      <c r="B133" s="12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68">
        <f t="shared" si="12"/>
        <v>12</v>
      </c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>
      <c r="A134" s="68">
        <v>119.0</v>
      </c>
      <c r="B134" s="12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68">
        <f t="shared" si="12"/>
        <v>12</v>
      </c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>
      <c r="A135" s="68">
        <v>120.0</v>
      </c>
      <c r="B135" s="12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68">
        <f t="shared" si="12"/>
        <v>12</v>
      </c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>
      <c r="A136" s="68">
        <v>121.0</v>
      </c>
      <c r="B136" s="12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68">
        <f t="shared" si="12"/>
        <v>12</v>
      </c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>
      <c r="A137" s="68">
        <v>122.0</v>
      </c>
      <c r="B137" s="12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68">
        <f t="shared" si="12"/>
        <v>12</v>
      </c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>
      <c r="A138" s="68">
        <v>123.0</v>
      </c>
      <c r="B138" s="12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68">
        <f t="shared" si="12"/>
        <v>12</v>
      </c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>
      <c r="A139" s="68">
        <v>124.0</v>
      </c>
      <c r="B139" s="12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68">
        <f t="shared" si="12"/>
        <v>12</v>
      </c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>
      <c r="A140" s="68">
        <v>125.0</v>
      </c>
      <c r="B140" s="12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68">
        <f t="shared" si="12"/>
        <v>12</v>
      </c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>
      <c r="A141" s="68">
        <v>126.0</v>
      </c>
      <c r="B141" s="12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68">
        <f t="shared" si="12"/>
        <v>12</v>
      </c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>
      <c r="A142" s="68">
        <v>127.0</v>
      </c>
      <c r="B142" s="12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68">
        <f t="shared" si="12"/>
        <v>12</v>
      </c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>
      <c r="A143" s="68">
        <v>128.0</v>
      </c>
      <c r="B143" s="12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68">
        <f t="shared" si="12"/>
        <v>12</v>
      </c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>
      <c r="A144" s="68">
        <v>129.0</v>
      </c>
      <c r="B144" s="12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68">
        <f t="shared" si="12"/>
        <v>12</v>
      </c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>
      <c r="A145" s="68">
        <v>130.0</v>
      </c>
      <c r="B145" s="12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68">
        <f t="shared" si="12"/>
        <v>12</v>
      </c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>
      <c r="A146" s="68">
        <v>131.0</v>
      </c>
      <c r="B146" s="12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68">
        <f t="shared" si="12"/>
        <v>12</v>
      </c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>
      <c r="A147" s="68">
        <v>132.0</v>
      </c>
      <c r="B147" s="12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68">
        <f t="shared" si="12"/>
        <v>12</v>
      </c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>
      <c r="A148" s="68">
        <v>133.0</v>
      </c>
      <c r="B148" s="12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68">
        <f t="shared" si="12"/>
        <v>12</v>
      </c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>
      <c r="A149" s="68">
        <v>134.0</v>
      </c>
      <c r="B149" s="12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68">
        <f t="shared" si="12"/>
        <v>12</v>
      </c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>
      <c r="A150" s="68">
        <v>135.0</v>
      </c>
      <c r="B150" s="12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68">
        <f t="shared" si="12"/>
        <v>12</v>
      </c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>
      <c r="A151" s="68">
        <v>136.0</v>
      </c>
      <c r="B151" s="12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68">
        <f t="shared" si="12"/>
        <v>12</v>
      </c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>
      <c r="A152" s="68">
        <v>137.0</v>
      </c>
      <c r="B152" s="12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68">
        <f t="shared" si="12"/>
        <v>12</v>
      </c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>
      <c r="A153" s="68">
        <v>138.0</v>
      </c>
      <c r="B153" s="12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68">
        <f t="shared" si="12"/>
        <v>12</v>
      </c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>
      <c r="A154" s="68">
        <v>139.0</v>
      </c>
      <c r="B154" s="12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68">
        <f t="shared" si="12"/>
        <v>12</v>
      </c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>
      <c r="A155" s="68">
        <v>140.0</v>
      </c>
      <c r="B155" s="12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68">
        <f t="shared" si="12"/>
        <v>12</v>
      </c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>
      <c r="A156" s="68">
        <v>141.0</v>
      </c>
      <c r="B156" s="12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68">
        <f t="shared" si="12"/>
        <v>12</v>
      </c>
      <c r="N156" s="35" t="s">
        <v>70</v>
      </c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>
      <c r="A157" s="68">
        <v>142.0</v>
      </c>
      <c r="B157" s="12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68">
        <f t="shared" si="12"/>
        <v>12</v>
      </c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>
      <c r="A158" s="68">
        <v>143.0</v>
      </c>
      <c r="B158" s="12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68">
        <f t="shared" si="12"/>
        <v>12</v>
      </c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>
      <c r="A159" s="68">
        <v>144.0</v>
      </c>
      <c r="B159" s="12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68">
        <f t="shared" si="12"/>
        <v>12</v>
      </c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>
      <c r="A160" s="68">
        <v>145.0</v>
      </c>
      <c r="B160" s="12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68">
        <f t="shared" si="12"/>
        <v>12</v>
      </c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>
      <c r="A161" s="68">
        <v>146.0</v>
      </c>
      <c r="B161" s="12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68">
        <f t="shared" si="12"/>
        <v>12</v>
      </c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>
      <c r="A162" s="68">
        <v>147.0</v>
      </c>
      <c r="B162" s="12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68">
        <f t="shared" si="12"/>
        <v>12</v>
      </c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>
      <c r="A163" s="68">
        <v>148.0</v>
      </c>
      <c r="B163" s="12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68">
        <f t="shared" si="12"/>
        <v>12</v>
      </c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>
      <c r="A164" s="68">
        <v>149.0</v>
      </c>
      <c r="B164" s="12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68">
        <f t="shared" si="12"/>
        <v>12</v>
      </c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>
      <c r="A165" s="68">
        <v>150.0</v>
      </c>
      <c r="B165" s="12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68">
        <f t="shared" si="12"/>
        <v>12</v>
      </c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>
      <c r="A166" s="68">
        <v>151.0</v>
      </c>
      <c r="B166" s="129"/>
      <c r="C166" s="59"/>
      <c r="D166" s="59"/>
      <c r="E166" s="59"/>
      <c r="F166" s="59"/>
      <c r="G166" s="59"/>
      <c r="H166" s="35"/>
      <c r="I166" s="59"/>
      <c r="J166" s="59"/>
      <c r="K166" s="59"/>
      <c r="L166" s="59"/>
      <c r="M166" s="68">
        <f t="shared" si="12"/>
        <v>12</v>
      </c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>
      <c r="A167" s="68">
        <v>152.0</v>
      </c>
      <c r="B167" s="12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68">
        <f t="shared" si="12"/>
        <v>12</v>
      </c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>
      <c r="A168" s="68">
        <v>153.0</v>
      </c>
      <c r="B168" s="12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68">
        <f t="shared" si="12"/>
        <v>12</v>
      </c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>
      <c r="A169" s="68">
        <v>154.0</v>
      </c>
      <c r="B169" s="12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68">
        <f t="shared" si="12"/>
        <v>12</v>
      </c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>
      <c r="A170" s="68">
        <v>155.0</v>
      </c>
      <c r="B170" s="12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68">
        <f t="shared" si="12"/>
        <v>12</v>
      </c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>
      <c r="A171" s="68">
        <v>156.0</v>
      </c>
      <c r="B171" s="12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68">
        <f t="shared" si="12"/>
        <v>12</v>
      </c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>
      <c r="A172" s="68">
        <v>157.0</v>
      </c>
      <c r="B172" s="12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68">
        <f t="shared" si="12"/>
        <v>12</v>
      </c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>
      <c r="A173" s="68">
        <v>158.0</v>
      </c>
      <c r="B173" s="12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68">
        <f t="shared" si="12"/>
        <v>12</v>
      </c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>
      <c r="A174" s="68">
        <v>159.0</v>
      </c>
      <c r="B174" s="12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68">
        <f t="shared" si="12"/>
        <v>12</v>
      </c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>
      <c r="A175" s="68">
        <v>160.0</v>
      </c>
      <c r="B175" s="12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68">
        <f t="shared" si="12"/>
        <v>12</v>
      </c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>
      <c r="A176" s="68">
        <v>161.0</v>
      </c>
      <c r="B176" s="12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68">
        <f t="shared" si="12"/>
        <v>12</v>
      </c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>
      <c r="A177" s="68">
        <v>162.0</v>
      </c>
      <c r="B177" s="12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68">
        <f t="shared" si="12"/>
        <v>12</v>
      </c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>
      <c r="A178" s="68">
        <v>163.0</v>
      </c>
      <c r="B178" s="12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68">
        <f t="shared" si="12"/>
        <v>12</v>
      </c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>
      <c r="A179" s="68">
        <v>164.0</v>
      </c>
      <c r="B179" s="12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68">
        <f t="shared" si="12"/>
        <v>12</v>
      </c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>
      <c r="A180" s="68">
        <v>165.0</v>
      </c>
      <c r="B180" s="12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68">
        <f t="shared" si="12"/>
        <v>12</v>
      </c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>
      <c r="A181" s="68">
        <v>166.0</v>
      </c>
      <c r="B181" s="12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68">
        <f t="shared" si="12"/>
        <v>12</v>
      </c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>
      <c r="A182" s="68">
        <v>167.0</v>
      </c>
      <c r="B182" s="12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68">
        <f t="shared" si="12"/>
        <v>12</v>
      </c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>
      <c r="A183" s="68">
        <v>168.0</v>
      </c>
      <c r="B183" s="12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68">
        <f t="shared" si="12"/>
        <v>12</v>
      </c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>
      <c r="A184" s="68">
        <v>169.0</v>
      </c>
      <c r="B184" s="12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68">
        <f t="shared" si="12"/>
        <v>12</v>
      </c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>
      <c r="A185" s="68">
        <v>170.0</v>
      </c>
      <c r="B185" s="12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68">
        <f t="shared" si="12"/>
        <v>12</v>
      </c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>
      <c r="A186" s="68">
        <v>171.0</v>
      </c>
      <c r="B186" s="12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68">
        <f t="shared" si="12"/>
        <v>12</v>
      </c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>
      <c r="A187" s="68">
        <v>172.0</v>
      </c>
      <c r="B187" s="12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68">
        <f t="shared" si="12"/>
        <v>12</v>
      </c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>
      <c r="A188" s="68">
        <v>173.0</v>
      </c>
      <c r="B188" s="12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68">
        <f t="shared" si="12"/>
        <v>12</v>
      </c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>
      <c r="A189" s="68">
        <v>174.0</v>
      </c>
      <c r="B189" s="12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68">
        <f t="shared" si="12"/>
        <v>12</v>
      </c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>
      <c r="A190" s="68">
        <v>175.0</v>
      </c>
      <c r="B190" s="12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68">
        <f t="shared" si="12"/>
        <v>12</v>
      </c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>
      <c r="A191" s="68">
        <v>176.0</v>
      </c>
      <c r="B191" s="12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68">
        <f t="shared" si="12"/>
        <v>12</v>
      </c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>
      <c r="A192" s="68">
        <v>177.0</v>
      </c>
      <c r="B192" s="12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68">
        <f t="shared" si="12"/>
        <v>12</v>
      </c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>
      <c r="A193" s="68">
        <v>178.0</v>
      </c>
      <c r="B193" s="12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68">
        <f t="shared" si="12"/>
        <v>12</v>
      </c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>
      <c r="A194" s="68">
        <v>179.0</v>
      </c>
      <c r="B194" s="12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68">
        <f t="shared" si="12"/>
        <v>12</v>
      </c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>
      <c r="A195" s="68">
        <v>180.0</v>
      </c>
      <c r="B195" s="12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68">
        <f t="shared" si="12"/>
        <v>12</v>
      </c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>
      <c r="A196" s="68">
        <v>181.0</v>
      </c>
      <c r="B196" s="12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68">
        <f t="shared" si="12"/>
        <v>12</v>
      </c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>
      <c r="A197" s="68">
        <v>182.0</v>
      </c>
      <c r="B197" s="12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68">
        <f t="shared" si="12"/>
        <v>12</v>
      </c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>
      <c r="A198" s="68">
        <v>183.0</v>
      </c>
      <c r="B198" s="12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68">
        <f t="shared" si="12"/>
        <v>12</v>
      </c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>
      <c r="A199" s="68">
        <v>184.0</v>
      </c>
      <c r="B199" s="12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68">
        <f t="shared" si="12"/>
        <v>12</v>
      </c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>
      <c r="A200" s="68">
        <v>185.0</v>
      </c>
      <c r="B200" s="12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68">
        <f t="shared" si="12"/>
        <v>12</v>
      </c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>
      <c r="A201" s="68">
        <v>186.0</v>
      </c>
      <c r="B201" s="12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68">
        <f t="shared" si="12"/>
        <v>12</v>
      </c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>
      <c r="A202" s="68">
        <v>187.0</v>
      </c>
      <c r="B202" s="12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68">
        <f t="shared" si="12"/>
        <v>12</v>
      </c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>
      <c r="A203" s="68">
        <v>188.0</v>
      </c>
      <c r="B203" s="12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68">
        <f t="shared" si="12"/>
        <v>12</v>
      </c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>
      <c r="A204" s="68">
        <v>189.0</v>
      </c>
      <c r="B204" s="12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68">
        <f t="shared" si="12"/>
        <v>12</v>
      </c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>
      <c r="A205" s="68">
        <v>190.0</v>
      </c>
      <c r="B205" s="12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68">
        <f t="shared" si="12"/>
        <v>12</v>
      </c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>
      <c r="A206" s="68">
        <v>191.0</v>
      </c>
      <c r="B206" s="12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68">
        <f t="shared" si="12"/>
        <v>12</v>
      </c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>
      <c r="A207" s="68">
        <v>192.0</v>
      </c>
      <c r="B207" s="12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68">
        <f t="shared" si="12"/>
        <v>12</v>
      </c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>
      <c r="A208" s="68">
        <v>193.0</v>
      </c>
      <c r="B208" s="12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68">
        <f t="shared" si="12"/>
        <v>12</v>
      </c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>
      <c r="A209" s="68">
        <v>194.0</v>
      </c>
      <c r="B209" s="12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68">
        <f t="shared" si="12"/>
        <v>12</v>
      </c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>
      <c r="A210" s="68">
        <v>195.0</v>
      </c>
      <c r="B210" s="12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68">
        <f t="shared" si="12"/>
        <v>12</v>
      </c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>
      <c r="A211" s="68">
        <v>196.0</v>
      </c>
      <c r="B211" s="12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68">
        <f t="shared" si="12"/>
        <v>12</v>
      </c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>
      <c r="A212" s="68">
        <v>197.0</v>
      </c>
      <c r="B212" s="12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68">
        <f t="shared" si="12"/>
        <v>12</v>
      </c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>
      <c r="A213" s="68">
        <v>198.0</v>
      </c>
      <c r="B213" s="12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68">
        <f t="shared" si="12"/>
        <v>12</v>
      </c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>
      <c r="A214" s="68">
        <v>199.0</v>
      </c>
      <c r="B214" s="12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68">
        <f t="shared" si="12"/>
        <v>12</v>
      </c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>
      <c r="A215" s="68">
        <v>200.0</v>
      </c>
      <c r="B215" s="12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68">
        <f t="shared" si="12"/>
        <v>12</v>
      </c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>
      <c r="A216" s="68">
        <v>201.0</v>
      </c>
      <c r="B216" s="12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68">
        <f t="shared" si="12"/>
        <v>12</v>
      </c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>
      <c r="A217" s="68">
        <v>202.0</v>
      </c>
      <c r="B217" s="12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68">
        <f t="shared" si="12"/>
        <v>12</v>
      </c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>
      <c r="A218" s="68">
        <v>203.0</v>
      </c>
      <c r="B218" s="12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68">
        <f t="shared" si="12"/>
        <v>12</v>
      </c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>
      <c r="A219" s="68">
        <v>204.0</v>
      </c>
      <c r="B219" s="12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68">
        <f t="shared" si="12"/>
        <v>12</v>
      </c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>
      <c r="A220" s="68">
        <v>205.0</v>
      </c>
      <c r="B220" s="12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68">
        <f t="shared" si="12"/>
        <v>12</v>
      </c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>
      <c r="A221" s="68">
        <v>206.0</v>
      </c>
      <c r="B221" s="12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68">
        <f t="shared" si="12"/>
        <v>12</v>
      </c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>
      <c r="A222" s="68">
        <v>207.0</v>
      </c>
      <c r="B222" s="12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68">
        <f t="shared" si="12"/>
        <v>12</v>
      </c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>
      <c r="A223" s="68">
        <v>208.0</v>
      </c>
      <c r="B223" s="130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68">
        <f t="shared" si="12"/>
        <v>12</v>
      </c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>
      <c r="A224" s="68">
        <v>209.0</v>
      </c>
      <c r="B224" s="130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68">
        <f t="shared" si="12"/>
        <v>12</v>
      </c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>
      <c r="A225" s="68">
        <v>210.0</v>
      </c>
      <c r="B225" s="130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68">
        <f t="shared" si="12"/>
        <v>12</v>
      </c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>
      <c r="A226" s="68">
        <v>211.0</v>
      </c>
      <c r="B226" s="130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68">
        <f t="shared" si="12"/>
        <v>12</v>
      </c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>
      <c r="A227" s="68">
        <v>212.0</v>
      </c>
      <c r="B227" s="130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68">
        <f t="shared" si="12"/>
        <v>12</v>
      </c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</row>
  </sheetData>
  <mergeCells count="5">
    <mergeCell ref="P17:P18"/>
    <mergeCell ref="Q17:R17"/>
    <mergeCell ref="S17:T17"/>
    <mergeCell ref="U17:V17"/>
    <mergeCell ref="A15:M15"/>
  </mergeCells>
  <dataValidations>
    <dataValidation type="list" allowBlank="1" showErrorMessage="1" sqref="K17:K227">
      <formula1>"임시주거 중,병원입원 중"</formula1>
    </dataValidation>
  </dataValidations>
  <drawing r:id="rId1"/>
</worksheet>
</file>